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-105" yWindow="-105" windowWidth="15495" windowHeight="8775" activeTab="4"/>
  </bookViews>
  <sheets>
    <sheet name="Config" sheetId="4" r:id="rId1"/>
    <sheet name="Sources_old" sheetId="2" state="hidden" r:id="rId2"/>
    <sheet name="Parties" sheetId="8" r:id="rId3"/>
    <sheet name="Equipes" sheetId="9" r:id="rId4"/>
    <sheet name="Journal" sheetId="3" r:id="rId5"/>
    <sheet name="statistiques" sheetId="6" state="hidden" r:id="rId6"/>
    <sheet name="Feuil1" sheetId="7" state="hidden" r:id="rId7"/>
  </sheets>
  <functionGroups/>
  <definedNames>
    <definedName name="_xlnm._FilterDatabase" localSheetId="0" hidden="1">Config!$A$1:$B$3</definedName>
    <definedName name="_xlnm._FilterDatabase" localSheetId="5" hidden="1">statistiques!$A$1:$J$52</definedName>
    <definedName name="ListeCouleur">TabEquipe[Couleur]</definedName>
    <definedName name="ListePartie">Tableau1[Clé]</definedName>
    <definedName name="ListePartieMondiaux">TabMondiaux[Partie]</definedName>
    <definedName name="NomJoueur">tabJoueur[Nom]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4"/>
  <c r="J2" i="8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I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H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G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C1" i="4" l="1"/>
  <c r="A3" i="9"/>
  <c r="A4"/>
  <c r="A5"/>
  <c r="A6"/>
  <c r="A7"/>
  <c r="A8"/>
  <c r="A9"/>
  <c r="A10"/>
  <c r="A11"/>
  <c r="A12"/>
  <c r="A13"/>
  <c r="A14"/>
  <c r="A15"/>
  <c r="A2"/>
  <c r="I71" i="2"/>
  <c r="I74"/>
  <c r="E3" i="9"/>
  <c r="E4"/>
  <c r="E5"/>
  <c r="E6"/>
  <c r="E7"/>
  <c r="E8"/>
  <c r="E9"/>
  <c r="E10"/>
  <c r="E11"/>
  <c r="E12"/>
  <c r="E13"/>
  <c r="E14"/>
  <c r="E15"/>
  <c r="E2"/>
  <c r="B6" i="4" l="1"/>
  <c r="B8"/>
  <c r="E1"/>
  <c r="I51" i="2"/>
  <c r="A51"/>
  <c r="F51"/>
  <c r="G51"/>
  <c r="O51"/>
  <c r="P51"/>
  <c r="G40"/>
  <c r="F40"/>
  <c r="A38"/>
  <c r="I38"/>
  <c r="O38"/>
  <c r="P38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9"/>
  <c r="O40"/>
  <c r="O41"/>
  <c r="O42"/>
  <c r="O43"/>
  <c r="O44"/>
  <c r="O45"/>
  <c r="O46"/>
  <c r="O47"/>
  <c r="O48"/>
  <c r="O49"/>
  <c r="O50"/>
  <c r="O2"/>
  <c r="G35"/>
  <c r="F35"/>
  <c r="I31"/>
  <c r="F31"/>
  <c r="G31"/>
  <c r="P31"/>
  <c r="A71"/>
  <c r="A72"/>
  <c r="A73"/>
  <c r="A74"/>
  <c r="A75"/>
  <c r="A76"/>
  <c r="I4"/>
  <c r="A4"/>
  <c r="F4"/>
  <c r="G4"/>
  <c r="P4"/>
  <c r="I18"/>
  <c r="A18"/>
  <c r="F18"/>
  <c r="G18"/>
  <c r="P18"/>
  <c r="I6"/>
  <c r="A6"/>
  <c r="F6"/>
  <c r="G6"/>
  <c r="P6"/>
  <c r="I32"/>
  <c r="A32"/>
  <c r="F32"/>
  <c r="G32"/>
  <c r="P32"/>
  <c r="A11"/>
  <c r="F11"/>
  <c r="G11"/>
  <c r="I11"/>
  <c r="P11"/>
  <c r="A2"/>
  <c r="F2"/>
  <c r="G2"/>
  <c r="I2"/>
  <c r="P2"/>
  <c r="A33"/>
  <c r="A9"/>
  <c r="A29"/>
  <c r="A50"/>
  <c r="A25"/>
  <c r="A41"/>
  <c r="A43"/>
  <c r="A44"/>
  <c r="A26"/>
  <c r="A7"/>
  <c r="A40"/>
  <c r="A35"/>
  <c r="A42"/>
  <c r="A30"/>
  <c r="A24"/>
  <c r="A23"/>
  <c r="F23"/>
  <c r="G23"/>
  <c r="I23"/>
  <c r="P23"/>
  <c r="F24"/>
  <c r="G24"/>
  <c r="I24"/>
  <c r="P24"/>
  <c r="I42"/>
  <c r="I30"/>
  <c r="P30"/>
  <c r="P42"/>
  <c r="I35"/>
  <c r="I40"/>
  <c r="I7"/>
  <c r="I26"/>
  <c r="P35"/>
  <c r="P40"/>
  <c r="P7"/>
  <c r="F26"/>
  <c r="G26"/>
  <c r="P26"/>
  <c r="D9" i="4"/>
  <c r="C9"/>
  <c r="C7"/>
  <c r="I44" i="2"/>
  <c r="F44"/>
  <c r="G44"/>
  <c r="P44"/>
  <c r="P43"/>
  <c r="I43"/>
  <c r="G43"/>
  <c r="F43"/>
  <c r="A48" l="1"/>
  <c r="A47"/>
  <c r="A20"/>
  <c r="A13"/>
  <c r="A21"/>
  <c r="A8"/>
  <c r="A12"/>
  <c r="A39"/>
  <c r="P10" l="1"/>
  <c r="P16"/>
  <c r="P19"/>
  <c r="P28"/>
  <c r="P36"/>
  <c r="P37"/>
  <c r="P45"/>
  <c r="P46"/>
  <c r="P3"/>
  <c r="P5"/>
  <c r="P14"/>
  <c r="P15"/>
  <c r="P22"/>
  <c r="P27"/>
  <c r="P34"/>
  <c r="P49"/>
  <c r="P17"/>
  <c r="P20"/>
  <c r="P13"/>
  <c r="P21"/>
  <c r="P8"/>
  <c r="P12"/>
  <c r="P39"/>
  <c r="P48"/>
  <c r="P47"/>
  <c r="P33"/>
  <c r="P9"/>
  <c r="P29"/>
  <c r="P50"/>
  <c r="P25"/>
  <c r="P41"/>
  <c r="I10"/>
  <c r="I16"/>
  <c r="I19"/>
  <c r="I28"/>
  <c r="I36"/>
  <c r="I37"/>
  <c r="I45"/>
  <c r="I46"/>
  <c r="I3"/>
  <c r="I5"/>
  <c r="I14"/>
  <c r="I15"/>
  <c r="I22"/>
  <c r="I27"/>
  <c r="I34"/>
  <c r="I49"/>
  <c r="I17"/>
  <c r="I20"/>
  <c r="I13"/>
  <c r="I21"/>
  <c r="I8"/>
  <c r="I12"/>
  <c r="I39"/>
  <c r="I48"/>
  <c r="I47"/>
  <c r="I33"/>
  <c r="I9"/>
  <c r="I29"/>
  <c r="I50"/>
  <c r="I25"/>
  <c r="I41"/>
  <c r="C38" i="7" l="1"/>
  <c r="B38"/>
  <c r="C37"/>
  <c r="B37"/>
  <c r="C36"/>
  <c r="B36"/>
  <c r="C31"/>
  <c r="B31"/>
  <c r="C30"/>
  <c r="B30"/>
  <c r="C29"/>
  <c r="B29"/>
  <c r="C24"/>
  <c r="B24"/>
  <c r="C23"/>
  <c r="B23"/>
  <c r="C22"/>
  <c r="B22"/>
  <c r="C15"/>
  <c r="B15"/>
  <c r="C16"/>
  <c r="C17"/>
  <c r="B17"/>
  <c r="B16"/>
  <c r="D5"/>
  <c r="D6"/>
  <c r="L14" l="1"/>
  <c r="M14"/>
  <c r="N14"/>
  <c r="K14"/>
  <c r="L13"/>
  <c r="M13"/>
  <c r="N13"/>
  <c r="K13"/>
  <c r="D3"/>
  <c r="D4"/>
  <c r="D8"/>
  <c r="D12"/>
  <c r="D13"/>
  <c r="D16" s="1"/>
  <c r="D14"/>
  <c r="D17" s="1"/>
  <c r="D19"/>
  <c r="D22" s="1"/>
  <c r="D20"/>
  <c r="D21"/>
  <c r="D26"/>
  <c r="D29" s="1"/>
  <c r="D27"/>
  <c r="D30" s="1"/>
  <c r="D28"/>
  <c r="D33"/>
  <c r="D34"/>
  <c r="D37" s="1"/>
  <c r="D35"/>
  <c r="D38" s="1"/>
  <c r="N53" i="6"/>
  <c r="O53"/>
  <c r="P53"/>
  <c r="N54"/>
  <c r="O54"/>
  <c r="P54"/>
  <c r="M54"/>
  <c r="M53"/>
  <c r="M10"/>
  <c r="N10"/>
  <c r="O10"/>
  <c r="P10"/>
  <c r="M11"/>
  <c r="N11"/>
  <c r="O11"/>
  <c r="P11"/>
  <c r="M12"/>
  <c r="N12"/>
  <c r="O12"/>
  <c r="P12"/>
  <c r="M13"/>
  <c r="N13"/>
  <c r="O13"/>
  <c r="P13"/>
  <c r="M14"/>
  <c r="N14"/>
  <c r="O14"/>
  <c r="P14"/>
  <c r="M15"/>
  <c r="N15"/>
  <c r="O15"/>
  <c r="P15"/>
  <c r="M16"/>
  <c r="N16"/>
  <c r="O16"/>
  <c r="P16"/>
  <c r="M17"/>
  <c r="N17"/>
  <c r="O17"/>
  <c r="P17"/>
  <c r="M18"/>
  <c r="N18"/>
  <c r="O18"/>
  <c r="P18"/>
  <c r="M19"/>
  <c r="N19"/>
  <c r="O19"/>
  <c r="P19"/>
  <c r="M20"/>
  <c r="N20"/>
  <c r="O20"/>
  <c r="P20"/>
  <c r="M21"/>
  <c r="N21"/>
  <c r="O21"/>
  <c r="P21"/>
  <c r="M22"/>
  <c r="N22"/>
  <c r="O22"/>
  <c r="P22"/>
  <c r="M23"/>
  <c r="N23"/>
  <c r="O23"/>
  <c r="P23"/>
  <c r="M24"/>
  <c r="N24"/>
  <c r="O24"/>
  <c r="P24"/>
  <c r="M25"/>
  <c r="N25"/>
  <c r="O25"/>
  <c r="P25"/>
  <c r="M26"/>
  <c r="N26"/>
  <c r="O26"/>
  <c r="P26"/>
  <c r="M27"/>
  <c r="N27"/>
  <c r="O27"/>
  <c r="P27"/>
  <c r="M28"/>
  <c r="N28"/>
  <c r="O28"/>
  <c r="P28"/>
  <c r="M29"/>
  <c r="N29"/>
  <c r="O29"/>
  <c r="P29"/>
  <c r="M30"/>
  <c r="N30"/>
  <c r="O30"/>
  <c r="P30"/>
  <c r="M31"/>
  <c r="N31"/>
  <c r="O31"/>
  <c r="P31"/>
  <c r="M32"/>
  <c r="N32"/>
  <c r="O32"/>
  <c r="P32"/>
  <c r="M33"/>
  <c r="N33"/>
  <c r="O33"/>
  <c r="P33"/>
  <c r="M34"/>
  <c r="N34"/>
  <c r="O34"/>
  <c r="P34"/>
  <c r="M35"/>
  <c r="N35"/>
  <c r="O35"/>
  <c r="P35"/>
  <c r="M36"/>
  <c r="N36"/>
  <c r="O36"/>
  <c r="P36"/>
  <c r="M37"/>
  <c r="N37"/>
  <c r="O37"/>
  <c r="P37"/>
  <c r="M38"/>
  <c r="N38"/>
  <c r="O38"/>
  <c r="P38"/>
  <c r="M39"/>
  <c r="N39"/>
  <c r="O39"/>
  <c r="P39"/>
  <c r="M40"/>
  <c r="N40"/>
  <c r="O40"/>
  <c r="P40"/>
  <c r="M41"/>
  <c r="N41"/>
  <c r="O41"/>
  <c r="P41"/>
  <c r="M42"/>
  <c r="N42"/>
  <c r="O42"/>
  <c r="P42"/>
  <c r="M43"/>
  <c r="N43"/>
  <c r="O43"/>
  <c r="P43"/>
  <c r="M44"/>
  <c r="N44"/>
  <c r="O44"/>
  <c r="P44"/>
  <c r="M45"/>
  <c r="N45"/>
  <c r="O45"/>
  <c r="P45"/>
  <c r="M46"/>
  <c r="N46"/>
  <c r="O46"/>
  <c r="P46"/>
  <c r="M47"/>
  <c r="N47"/>
  <c r="O47"/>
  <c r="P47"/>
  <c r="M48"/>
  <c r="N48"/>
  <c r="O48"/>
  <c r="P48"/>
  <c r="M49"/>
  <c r="N49"/>
  <c r="O49"/>
  <c r="P49"/>
  <c r="M50"/>
  <c r="N50"/>
  <c r="O50"/>
  <c r="P50"/>
  <c r="M51"/>
  <c r="N51"/>
  <c r="O51"/>
  <c r="P51"/>
  <c r="N2"/>
  <c r="N52" s="1"/>
  <c r="O2"/>
  <c r="O52" s="1"/>
  <c r="P2"/>
  <c r="P52" s="1"/>
  <c r="N3"/>
  <c r="O3"/>
  <c r="P3"/>
  <c r="N4"/>
  <c r="O4"/>
  <c r="P4"/>
  <c r="N5"/>
  <c r="O5"/>
  <c r="P5"/>
  <c r="N6"/>
  <c r="O6"/>
  <c r="P6"/>
  <c r="N7"/>
  <c r="O7"/>
  <c r="P7"/>
  <c r="N8"/>
  <c r="O8"/>
  <c r="P8"/>
  <c r="N9"/>
  <c r="O9"/>
  <c r="P9"/>
  <c r="M3"/>
  <c r="M4"/>
  <c r="M5"/>
  <c r="M6"/>
  <c r="M7"/>
  <c r="M8"/>
  <c r="M9"/>
  <c r="M2"/>
  <c r="M52" s="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L52" s="1"/>
  <c r="D23" i="7" l="1"/>
  <c r="D36"/>
  <c r="D31"/>
  <c r="D15"/>
  <c r="D24"/>
  <c r="J10"/>
  <c r="J11"/>
  <c r="I10"/>
  <c r="I11"/>
  <c r="I12"/>
  <c r="J12"/>
  <c r="J27" i="6"/>
  <c r="J28"/>
  <c r="J48"/>
  <c r="J49"/>
  <c r="J50"/>
  <c r="J51"/>
  <c r="J41"/>
  <c r="J42"/>
  <c r="J43"/>
  <c r="J44"/>
  <c r="J45"/>
  <c r="J46"/>
  <c r="J47"/>
  <c r="J35"/>
  <c r="J36"/>
  <c r="J37"/>
  <c r="J38"/>
  <c r="J39"/>
  <c r="J40"/>
  <c r="J26"/>
  <c r="J29"/>
  <c r="J30"/>
  <c r="J31"/>
  <c r="J32"/>
  <c r="J33"/>
  <c r="J34"/>
  <c r="J2"/>
  <c r="J18"/>
  <c r="J19"/>
  <c r="J20"/>
  <c r="J21"/>
  <c r="J22"/>
  <c r="J23"/>
  <c r="J24"/>
  <c r="J25"/>
  <c r="J4"/>
  <c r="J5"/>
  <c r="J6"/>
  <c r="J7"/>
  <c r="J8"/>
  <c r="J9"/>
  <c r="J10"/>
  <c r="J11"/>
  <c r="J12"/>
  <c r="J13"/>
  <c r="J14"/>
  <c r="J15"/>
  <c r="J16"/>
  <c r="J17"/>
  <c r="I14" i="7" l="1"/>
  <c r="I13"/>
  <c r="J14"/>
  <c r="J13"/>
  <c r="J3" i="6"/>
  <c r="A17" i="2" l="1"/>
  <c r="G16"/>
  <c r="G19"/>
  <c r="G28"/>
  <c r="G36"/>
  <c r="G37"/>
  <c r="G45"/>
  <c r="G46"/>
  <c r="G3"/>
  <c r="G5"/>
  <c r="G14"/>
  <c r="G15"/>
  <c r="G22"/>
  <c r="G27"/>
  <c r="G34"/>
  <c r="G49"/>
  <c r="G17"/>
  <c r="G20"/>
  <c r="G13"/>
  <c r="G21"/>
  <c r="G8"/>
  <c r="G12"/>
  <c r="G39"/>
  <c r="G48"/>
  <c r="G47"/>
  <c r="G33"/>
  <c r="G9"/>
  <c r="G29"/>
  <c r="G50"/>
  <c r="G25"/>
  <c r="G41"/>
  <c r="G10"/>
  <c r="A10" l="1"/>
  <c r="A16"/>
  <c r="A19"/>
  <c r="A28"/>
  <c r="A36"/>
  <c r="A37"/>
  <c r="A45"/>
  <c r="A46"/>
  <c r="A3"/>
  <c r="A5"/>
  <c r="A14"/>
  <c r="A15"/>
  <c r="A22"/>
  <c r="A27"/>
  <c r="A34"/>
  <c r="A49"/>
  <c r="J73" l="1"/>
  <c r="K76"/>
  <c r="K75"/>
  <c r="J76"/>
  <c r="L76"/>
  <c r="L75"/>
  <c r="J75"/>
  <c r="I76"/>
  <c r="I75"/>
  <c r="I73"/>
  <c r="K74"/>
  <c r="I72"/>
  <c r="L71"/>
  <c r="L73"/>
  <c r="J72"/>
  <c r="J74"/>
  <c r="L74"/>
  <c r="K72"/>
  <c r="J71"/>
  <c r="K73"/>
  <c r="L72"/>
  <c r="K71"/>
  <c r="F17"/>
  <c r="F20"/>
  <c r="F13"/>
  <c r="F21"/>
  <c r="F8"/>
  <c r="F12"/>
  <c r="F39"/>
  <c r="F48"/>
  <c r="F47"/>
  <c r="F33"/>
  <c r="F9"/>
  <c r="F29"/>
  <c r="F50"/>
  <c r="F25"/>
  <c r="F41"/>
  <c r="F16"/>
  <c r="F19"/>
  <c r="F28"/>
  <c r="F36"/>
  <c r="F37"/>
  <c r="F45"/>
  <c r="F46"/>
  <c r="F3"/>
  <c r="F5"/>
  <c r="F14"/>
  <c r="F15"/>
  <c r="F22"/>
  <c r="F27"/>
  <c r="F34"/>
  <c r="F49"/>
  <c r="F10"/>
</calcChain>
</file>

<file path=xl/sharedStrings.xml><?xml version="1.0" encoding="utf-8"?>
<sst xmlns="http://schemas.openxmlformats.org/spreadsheetml/2006/main" count="853" uniqueCount="378">
  <si>
    <t>Equipe</t>
  </si>
  <si>
    <t>Couleur</t>
  </si>
  <si>
    <t>Rouge</t>
  </si>
  <si>
    <t>Couleur fond</t>
  </si>
  <si>
    <t>Couleur txt</t>
  </si>
  <si>
    <t>GONZALEZ</t>
  </si>
  <si>
    <t>LABORDE</t>
  </si>
  <si>
    <t>Poste</t>
  </si>
  <si>
    <t>Nom</t>
  </si>
  <si>
    <t>Prénom</t>
  </si>
  <si>
    <t>Photo</t>
  </si>
  <si>
    <t>Age</t>
  </si>
  <si>
    <t>Taille</t>
  </si>
  <si>
    <t>Avant</t>
  </si>
  <si>
    <t>Arrière</t>
  </si>
  <si>
    <t>Bixente</t>
  </si>
  <si>
    <t>Théo</t>
  </si>
  <si>
    <t>Biarritz Athletic Club</t>
  </si>
  <si>
    <t>Logo Club</t>
  </si>
  <si>
    <t>Date</t>
  </si>
  <si>
    <t>\club\bac.jpg</t>
  </si>
  <si>
    <t>Heure</t>
  </si>
  <si>
    <t>GARCIA</t>
  </si>
  <si>
    <t>ETCHEBERRY</t>
  </si>
  <si>
    <t>BERTHON</t>
  </si>
  <si>
    <t>Jean</t>
  </si>
  <si>
    <t>Nicolas</t>
  </si>
  <si>
    <t>date de naissance</t>
  </si>
  <si>
    <t>Echange le plus long</t>
  </si>
  <si>
    <t>poule</t>
  </si>
  <si>
    <t>elite A</t>
  </si>
  <si>
    <t>EGIGUREN</t>
  </si>
  <si>
    <t>Mikel</t>
  </si>
  <si>
    <t>Laurent</t>
  </si>
  <si>
    <t>LADUCHE</t>
  </si>
  <si>
    <t>Ludovic</t>
  </si>
  <si>
    <t>OLHA</t>
  </si>
  <si>
    <t>Christophe</t>
  </si>
  <si>
    <t>OLHARAN</t>
  </si>
  <si>
    <t>TAMBOURINDEGUY</t>
  </si>
  <si>
    <t>Jon</t>
  </si>
  <si>
    <t>Patxi</t>
  </si>
  <si>
    <t>AMATI</t>
  </si>
  <si>
    <t>Stéphane</t>
  </si>
  <si>
    <t>BASQUE</t>
  </si>
  <si>
    <t>Thibault</t>
  </si>
  <si>
    <t>ETCHETO</t>
  </si>
  <si>
    <t>ETCHEVERRY</t>
  </si>
  <si>
    <t>Pierre</t>
  </si>
  <si>
    <t>INZA</t>
  </si>
  <si>
    <t>Txabi</t>
  </si>
  <si>
    <t>MINVIELLE</t>
  </si>
  <si>
    <t>David</t>
  </si>
  <si>
    <t>URTASUN</t>
  </si>
  <si>
    <t>Manex</t>
  </si>
  <si>
    <t>Nationalité</t>
  </si>
  <si>
    <t>Poids</t>
  </si>
  <si>
    <t>Espagne</t>
  </si>
  <si>
    <t>San Sebastian</t>
  </si>
  <si>
    <t>France</t>
  </si>
  <si>
    <t>Guéthary</t>
  </si>
  <si>
    <t>Club formateur</t>
  </si>
  <si>
    <t>Saint-Jean-Pied-de-Port</t>
  </si>
  <si>
    <t>Pau</t>
  </si>
  <si>
    <t>Saint-Jean-de-Luz</t>
  </si>
  <si>
    <t>Bidart</t>
  </si>
  <si>
    <t>Hossegor</t>
  </si>
  <si>
    <t>Partie</t>
  </si>
  <si>
    <t>date</t>
  </si>
  <si>
    <t>Elite</t>
  </si>
  <si>
    <t>E1-J1</t>
  </si>
  <si>
    <t>E1-J2</t>
  </si>
  <si>
    <t>E2-J1</t>
  </si>
  <si>
    <t>E2-J2</t>
  </si>
  <si>
    <t>elite B</t>
  </si>
  <si>
    <t>Points finale</t>
  </si>
  <si>
    <t>Points manche</t>
  </si>
  <si>
    <t>PrenomNom</t>
  </si>
  <si>
    <t>Mini Photo</t>
  </si>
  <si>
    <t>Clé</t>
  </si>
  <si>
    <t>LE1J1</t>
  </si>
  <si>
    <t>LE1J2</t>
  </si>
  <si>
    <t>LE2J1</t>
  </si>
  <si>
    <t>LE2J2</t>
  </si>
  <si>
    <t>Numligne</t>
  </si>
  <si>
    <t>Clément</t>
  </si>
  <si>
    <t>IBAR</t>
  </si>
  <si>
    <t>Hugo</t>
  </si>
  <si>
    <t>ETCHEGARAY</t>
  </si>
  <si>
    <t>IHITSAGUE</t>
  </si>
  <si>
    <t>Julien</t>
  </si>
  <si>
    <t>Tom</t>
  </si>
  <si>
    <t>Point Equipe 1</t>
  </si>
  <si>
    <t>Point Equipe 2</t>
  </si>
  <si>
    <t>Manche</t>
  </si>
  <si>
    <t>N°Point</t>
  </si>
  <si>
    <t>Equipe au but</t>
  </si>
  <si>
    <t>manche</t>
  </si>
  <si>
    <t>point</t>
  </si>
  <si>
    <t>bgonzalez</t>
  </si>
  <si>
    <t>tlaborde</t>
  </si>
  <si>
    <t>jolharan</t>
  </si>
  <si>
    <t>tbasque</t>
  </si>
  <si>
    <t>suivi du point</t>
  </si>
  <si>
    <t>jtttjtjtjbjtjtjtjbjttbttj</t>
  </si>
  <si>
    <t>323242323142</t>
  </si>
  <si>
    <t>bjb</t>
  </si>
  <si>
    <t>btbtbttt</t>
  </si>
  <si>
    <t>pumpa</t>
  </si>
  <si>
    <t>bttjtjt</t>
  </si>
  <si>
    <t>jtjbttttjttbtbttjtttjttbt</t>
  </si>
  <si>
    <t>bjbt</t>
  </si>
  <si>
    <t>2 murs</t>
  </si>
  <si>
    <t>jtjb</t>
  </si>
  <si>
    <t>durée point</t>
  </si>
  <si>
    <t>btbtbttjt</t>
  </si>
  <si>
    <t>réparation gant théo</t>
  </si>
  <si>
    <t>jtjbjtttttbt</t>
  </si>
  <si>
    <t>bttjttbj</t>
  </si>
  <si>
    <t>jbtttb</t>
  </si>
  <si>
    <t>jtjtj</t>
  </si>
  <si>
    <t>jtjtjt</t>
  </si>
  <si>
    <t>jttbj</t>
  </si>
  <si>
    <t>jtttjtj</t>
  </si>
  <si>
    <t>2 murs faux</t>
  </si>
  <si>
    <t>b</t>
  </si>
  <si>
    <t>but gagnant</t>
  </si>
  <si>
    <t>bj</t>
  </si>
  <si>
    <t>lâcher</t>
  </si>
  <si>
    <t>jb</t>
  </si>
  <si>
    <t>jbttjtjtjbt</t>
  </si>
  <si>
    <t>bâche mur de gauche</t>
  </si>
  <si>
    <t>bttttjt</t>
  </si>
  <si>
    <t>bâche mur de fond</t>
  </si>
  <si>
    <t>jbtbtbj</t>
  </si>
  <si>
    <t>jttbt</t>
  </si>
  <si>
    <t>attaque à droite</t>
  </si>
  <si>
    <t>jtjttbj</t>
  </si>
  <si>
    <t>jttbttjbttbjtjb</t>
  </si>
  <si>
    <t>faute de gant</t>
  </si>
  <si>
    <t>pause entre manche</t>
  </si>
  <si>
    <t>jtj</t>
  </si>
  <si>
    <t>jbjbtbt</t>
  </si>
  <si>
    <t>bttttjbjttttjbttt</t>
  </si>
  <si>
    <t>bjbttt</t>
  </si>
  <si>
    <t>bttjtt</t>
  </si>
  <si>
    <t>jttbjb</t>
  </si>
  <si>
    <t>errebot coup droit faux</t>
  </si>
  <si>
    <t>cortada</t>
  </si>
  <si>
    <t>bjbj</t>
  </si>
  <si>
    <t>btt</t>
  </si>
  <si>
    <t>jtjtjtjt</t>
  </si>
  <si>
    <t>jttb</t>
  </si>
  <si>
    <t>errebot revers faux</t>
  </si>
  <si>
    <t>jtjbtbtb</t>
  </si>
  <si>
    <t>xula</t>
  </si>
  <si>
    <t>but faux</t>
  </si>
  <si>
    <t>bjbjbj</t>
  </si>
  <si>
    <t>jljltl</t>
  </si>
  <si>
    <t>jljltljljbtl</t>
  </si>
  <si>
    <t>131313</t>
  </si>
  <si>
    <t>323242</t>
  </si>
  <si>
    <t>3242323231323232313241423</t>
  </si>
  <si>
    <t>131</t>
  </si>
  <si>
    <t>14141424</t>
  </si>
  <si>
    <t>1423232</t>
  </si>
  <si>
    <t>323142423214142324232414</t>
  </si>
  <si>
    <t>1314</t>
  </si>
  <si>
    <t>3231</t>
  </si>
  <si>
    <t>323</t>
  </si>
  <si>
    <t>141414232</t>
  </si>
  <si>
    <t>3231324242414</t>
  </si>
  <si>
    <t>14232413</t>
  </si>
  <si>
    <t>314241</t>
  </si>
  <si>
    <t>32323</t>
  </si>
  <si>
    <t>323232</t>
  </si>
  <si>
    <t>32413</t>
  </si>
  <si>
    <t>3242323</t>
  </si>
  <si>
    <t>1</t>
  </si>
  <si>
    <t>13</t>
  </si>
  <si>
    <t>31</t>
  </si>
  <si>
    <t>31423232314</t>
  </si>
  <si>
    <t>1424232</t>
  </si>
  <si>
    <t>3141413</t>
  </si>
  <si>
    <t>32414</t>
  </si>
  <si>
    <t>3232413</t>
  </si>
  <si>
    <t>32414231423231</t>
  </si>
  <si>
    <t>3131414</t>
  </si>
  <si>
    <t>142423132424231424</t>
  </si>
  <si>
    <t>131424</t>
  </si>
  <si>
    <t>142324</t>
  </si>
  <si>
    <t>324131</t>
  </si>
  <si>
    <t>1313</t>
  </si>
  <si>
    <t>142</t>
  </si>
  <si>
    <t>32323232</t>
  </si>
  <si>
    <t>3241</t>
  </si>
  <si>
    <t>32314141</t>
  </si>
  <si>
    <t>nb coups total</t>
  </si>
  <si>
    <t>Score</t>
  </si>
  <si>
    <t>Durée</t>
  </si>
  <si>
    <t>9-15</t>
  </si>
  <si>
    <t>8-15</t>
  </si>
  <si>
    <t>Total</t>
  </si>
  <si>
    <t>Nbre de pelotes jouées</t>
  </si>
  <si>
    <t>Nbre de pelotes jouées plus long échange</t>
  </si>
  <si>
    <t>Pelotes jouées</t>
  </si>
  <si>
    <t>Points gagnants</t>
  </si>
  <si>
    <t>Fautes</t>
  </si>
  <si>
    <t>Rouges</t>
  </si>
  <si>
    <t>Verts</t>
  </si>
  <si>
    <t>% points/pelote</t>
  </si>
  <si>
    <t>% fautes/pelote</t>
  </si>
  <si>
    <t>Manche 1</t>
  </si>
  <si>
    <t>Manche 2</t>
  </si>
  <si>
    <t>Stats partie lundi 21/09/2020</t>
  </si>
  <si>
    <t>% pelotes jouées</t>
  </si>
  <si>
    <t>%points/pelote jouée</t>
  </si>
  <si>
    <t>%fautes/pelote jouée</t>
  </si>
  <si>
    <t>Pelotes jouées Bixente GONZALEZ</t>
  </si>
  <si>
    <t>Pelotes jouées Théo LABORDE</t>
  </si>
  <si>
    <t>Pelotes jouées Jean OLHARAN</t>
  </si>
  <si>
    <t>Pelotes jouées Thibault BASQUE</t>
  </si>
  <si>
    <t>Iban</t>
  </si>
  <si>
    <t>OYENART</t>
  </si>
  <si>
    <t>Guillen</t>
  </si>
  <si>
    <t>Colonne1</t>
  </si>
  <si>
    <t>Bleu</t>
  </si>
  <si>
    <t>Blanc</t>
  </si>
  <si>
    <t>Noir</t>
  </si>
  <si>
    <t>Jaune</t>
  </si>
  <si>
    <t>Rose</t>
  </si>
  <si>
    <t>Violet</t>
  </si>
  <si>
    <t>MURTASUN</t>
  </si>
  <si>
    <t>URRUTIA</t>
  </si>
  <si>
    <t>Thomas</t>
  </si>
  <si>
    <t>TOUCOULLET</t>
  </si>
  <si>
    <t>MARQUE PUCHEU</t>
  </si>
  <si>
    <t>Domingo</t>
  </si>
  <si>
    <t>DE BETELU</t>
  </si>
  <si>
    <t>Antton</t>
  </si>
  <si>
    <t>Elite B1/2 finale 1</t>
  </si>
  <si>
    <t>LALOO</t>
  </si>
  <si>
    <t>Andoni</t>
  </si>
  <si>
    <t>ZABALETA</t>
  </si>
  <si>
    <t>Alexi</t>
  </si>
  <si>
    <t>ITURRALDE</t>
  </si>
  <si>
    <t>Aize</t>
  </si>
  <si>
    <t>LLADUCHE</t>
  </si>
  <si>
    <t>SOROZABAL</t>
  </si>
  <si>
    <t>Gorka</t>
  </si>
  <si>
    <t>PORTET</t>
  </si>
  <si>
    <t>Jérôme</t>
  </si>
  <si>
    <t>Section Paloise</t>
  </si>
  <si>
    <t>Johan</t>
  </si>
  <si>
    <t>TLABORDE</t>
  </si>
  <si>
    <t>Mauléon</t>
  </si>
  <si>
    <t>Couleur 1</t>
  </si>
  <si>
    <t>Couleur 2</t>
  </si>
  <si>
    <t>Equipe 1</t>
  </si>
  <si>
    <t>Equipe 2</t>
  </si>
  <si>
    <t>Vert</t>
  </si>
  <si>
    <t>Espoirs</t>
  </si>
  <si>
    <t>HPIERROU</t>
  </si>
  <si>
    <t>BERDOULAY</t>
  </si>
  <si>
    <t>PIERROU</t>
  </si>
  <si>
    <t>MONTAMAT</t>
  </si>
  <si>
    <t>Romain</t>
  </si>
  <si>
    <t>Maxime</t>
  </si>
  <si>
    <t>Paul</t>
  </si>
  <si>
    <t>ZSALABERRY</t>
  </si>
  <si>
    <t>SALABERRY</t>
  </si>
  <si>
    <t>Zugaitz</t>
  </si>
  <si>
    <t>LEKERIKA</t>
  </si>
  <si>
    <t>Unaï</t>
  </si>
  <si>
    <t>Gernika</t>
  </si>
  <si>
    <t>JOUANTEGUY</t>
  </si>
  <si>
    <t>\photos\inconnu.jpg</t>
  </si>
  <si>
    <t>\photos\inconnu_mini.jpg</t>
  </si>
  <si>
    <t>KITHURRIA</t>
  </si>
  <si>
    <t>DMINVIELLE</t>
  </si>
  <si>
    <t>ITHURRIA</t>
  </si>
  <si>
    <t>Kévin</t>
  </si>
  <si>
    <t>JOLHARAN</t>
  </si>
  <si>
    <t>IRASTORZA</t>
  </si>
  <si>
    <t>Eric</t>
  </si>
  <si>
    <t>ALDAZABAL</t>
  </si>
  <si>
    <t>Ibon</t>
  </si>
  <si>
    <t>Berriatua</t>
  </si>
  <si>
    <t>AITURRALDE</t>
  </si>
  <si>
    <t>PTAMBOURINDEGUY</t>
  </si>
  <si>
    <t>ERKIAGA</t>
  </si>
  <si>
    <t>Aritz</t>
  </si>
  <si>
    <t>LOPEZ</t>
  </si>
  <si>
    <t>Imanol</t>
  </si>
  <si>
    <t>Lekeitio</t>
  </si>
  <si>
    <t>Zumaia</t>
  </si>
  <si>
    <t>MBENETRIX</t>
  </si>
  <si>
    <t>BENETRIX</t>
  </si>
  <si>
    <t>GOIKOETXEA</t>
  </si>
  <si>
    <t>Iñaki</t>
  </si>
  <si>
    <t>BARANDIKA</t>
  </si>
  <si>
    <t>Xabier</t>
  </si>
  <si>
    <t>TBASQUE</t>
  </si>
  <si>
    <t>ELIBOIS</t>
  </si>
  <si>
    <t>LIBOIS</t>
  </si>
  <si>
    <t>Emeric</t>
  </si>
  <si>
    <t>Belgique</t>
  </si>
  <si>
    <t>OTHABURU</t>
  </si>
  <si>
    <t>Baptiste</t>
  </si>
  <si>
    <t>JPORTET</t>
  </si>
  <si>
    <t>Elite B</t>
  </si>
  <si>
    <t>1/2 Finale</t>
  </si>
  <si>
    <t>YMILLAT</t>
  </si>
  <si>
    <t>Elite A</t>
  </si>
  <si>
    <t>jeudi 28 octobre 2021</t>
  </si>
  <si>
    <t>Finale</t>
  </si>
  <si>
    <t>lundi 1er novembre 2021</t>
  </si>
  <si>
    <t>Jeudi 4 novembre 2021</t>
  </si>
  <si>
    <t>ALALOO</t>
  </si>
  <si>
    <t>DMARQUE PUCHEU</t>
  </si>
  <si>
    <t>MILLAT</t>
  </si>
  <si>
    <t>Yann</t>
  </si>
  <si>
    <t>Jour</t>
  </si>
  <si>
    <t>Dimanche 23 octobre 2022</t>
  </si>
  <si>
    <t>Catégorie</t>
  </si>
  <si>
    <t>MASCULIN</t>
  </si>
  <si>
    <t>FEMININE</t>
  </si>
  <si>
    <t>Lundi 24 octobre 2022</t>
  </si>
  <si>
    <t>ETATS-UNIS</t>
  </si>
  <si>
    <t>VENEZUELA</t>
  </si>
  <si>
    <t>FRANCE B</t>
  </si>
  <si>
    <t>ESPAGNE B</t>
  </si>
  <si>
    <t>FRANCE A</t>
  </si>
  <si>
    <t>ESPAGNE A</t>
  </si>
  <si>
    <t>MEXIQUE</t>
  </si>
  <si>
    <t>CUBA</t>
  </si>
  <si>
    <t>Mardi 25 octobre 2022</t>
  </si>
  <si>
    <t>MEXIQUE B</t>
  </si>
  <si>
    <t>MEXIQUE A</t>
  </si>
  <si>
    <t>Mercredi 26 octobre 2022</t>
  </si>
  <si>
    <t>Jeudi 27 octobre 2022</t>
  </si>
  <si>
    <t>7°-8°</t>
  </si>
  <si>
    <t>5°-6°</t>
  </si>
  <si>
    <t>1° Demi-finale</t>
  </si>
  <si>
    <t>2° Demi-finale</t>
  </si>
  <si>
    <t>Samedi 29 octobre 2022</t>
  </si>
  <si>
    <t>3°-4°</t>
  </si>
  <si>
    <t>Nation</t>
  </si>
  <si>
    <t>Drapeau</t>
  </si>
  <si>
    <t>ESPAGNE</t>
  </si>
  <si>
    <t>FRANCE</t>
  </si>
  <si>
    <t>Partie2</t>
  </si>
  <si>
    <t>PASA</t>
  </si>
  <si>
    <t>Joueur 1</t>
  </si>
  <si>
    <t>Joueur 2</t>
  </si>
  <si>
    <t>Joueur 3</t>
  </si>
  <si>
    <t>Joueur 4</t>
  </si>
  <si>
    <t>Nation 1</t>
  </si>
  <si>
    <t>Nation 2</t>
  </si>
  <si>
    <t>Drapeau 1</t>
  </si>
  <si>
    <t>Drapeau 2</t>
  </si>
  <si>
    <t>Classement 7°-8° Masculin</t>
  </si>
  <si>
    <t>Classement 5°-6° Masculin</t>
  </si>
  <si>
    <t>Classement 5°-6° Féminines</t>
  </si>
  <si>
    <t>1° demi-finale Féminine</t>
  </si>
  <si>
    <t>2° demi-finale Féminine</t>
  </si>
  <si>
    <t>1° demi-finale Masculin</t>
  </si>
  <si>
    <t>2° demi-finale Masculin</t>
  </si>
  <si>
    <t>3°-4° Féminine</t>
  </si>
  <si>
    <t>3°-4° Masculin</t>
  </si>
  <si>
    <t>Finale Masculin</t>
  </si>
  <si>
    <t>Finale Féminine</t>
  </si>
  <si>
    <t>Catégorie2</t>
  </si>
  <si>
    <t>Cesta Punta Féminine</t>
  </si>
  <si>
    <t>Cesta Punta Masculine</t>
  </si>
  <si>
    <t>Dimanche 23 octobre 2022-Cesta Punta Féminine-1</t>
  </si>
  <si>
    <t>Dimanche 23 octobre 2022-Cesta Punta Masculine-2</t>
  </si>
  <si>
    <t>Lundi 24 octobre 2022-Cesta Punta Masculine-1</t>
  </si>
</sst>
</file>

<file path=xl/styles.xml><?xml version="1.0" encoding="utf-8"?>
<styleSheet xmlns="http://schemas.openxmlformats.org/spreadsheetml/2006/main">
  <numFmts count="4">
    <numFmt numFmtId="164" formatCode="yy"/>
    <numFmt numFmtId="165" formatCode="h:mm:ss;@"/>
    <numFmt numFmtId="166" formatCode="[$-F400]h:mm:ss\ AM/PM"/>
    <numFmt numFmtId="167" formatCode="[$-F800]dddd\,\ mmmm\ dd\,\ yyyy"/>
  </numFmts>
  <fonts count="12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0">
    <xf numFmtId="0" fontId="0" fillId="0" borderId="0" xfId="0"/>
    <xf numFmtId="0" fontId="1" fillId="0" borderId="0" xfId="0" applyFont="1" applyFill="1"/>
    <xf numFmtId="0" fontId="0" fillId="0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Fill="1"/>
    <xf numFmtId="0" fontId="0" fillId="0" borderId="0" xfId="0" applyAlignment="1">
      <alignment textRotation="90"/>
    </xf>
    <xf numFmtId="14" fontId="0" fillId="0" borderId="0" xfId="0" applyNumberFormat="1" applyAlignment="1">
      <alignment horizontal="center" textRotation="90"/>
    </xf>
    <xf numFmtId="19" fontId="0" fillId="0" borderId="0" xfId="0" applyNumberFormat="1" applyAlignment="1">
      <alignment horizontal="center" textRotation="90"/>
    </xf>
    <xf numFmtId="0" fontId="0" fillId="0" borderId="0" xfId="0" applyAlignment="1">
      <alignment horizontal="center" textRotation="90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0" fillId="2" borderId="0" xfId="0" applyFill="1"/>
    <xf numFmtId="2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1" applyNumberFormat="1" applyFont="1" applyAlignment="1">
      <alignment horizontal="center"/>
    </xf>
    <xf numFmtId="0" fontId="0" fillId="3" borderId="0" xfId="0" applyFill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3" borderId="0" xfId="0" applyFont="1" applyFill="1" applyAlignment="1">
      <alignment horizontal="center"/>
    </xf>
    <xf numFmtId="9" fontId="5" fillId="0" borderId="0" xfId="1" applyFont="1" applyAlignment="1">
      <alignment horizontal="center"/>
    </xf>
    <xf numFmtId="9" fontId="1" fillId="0" borderId="0" xfId="1" applyFont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/>
    </xf>
    <xf numFmtId="0" fontId="8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9" fontId="6" fillId="0" borderId="0" xfId="1" applyFont="1" applyAlignment="1">
      <alignment horizontal="center"/>
    </xf>
    <xf numFmtId="2" fontId="0" fillId="0" borderId="0" xfId="0" applyNumberFormat="1"/>
    <xf numFmtId="14" fontId="0" fillId="0" borderId="0" xfId="0" applyNumberFormat="1" applyFill="1"/>
    <xf numFmtId="0" fontId="1" fillId="4" borderId="1" xfId="0" applyFont="1" applyFill="1" applyBorder="1"/>
    <xf numFmtId="0" fontId="1" fillId="4" borderId="2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0" borderId="0" xfId="0" applyNumberFormat="1"/>
    <xf numFmtId="0" fontId="0" fillId="0" borderId="0" xfId="0" applyNumberFormat="1" applyFill="1"/>
    <xf numFmtId="0" fontId="0" fillId="0" borderId="0" xfId="0" applyNumberFormat="1" applyBorder="1"/>
    <xf numFmtId="0" fontId="0" fillId="0" borderId="0" xfId="0" applyFill="1" applyBorder="1"/>
    <xf numFmtId="14" fontId="0" fillId="0" borderId="0" xfId="0" applyNumberFormat="1" applyBorder="1"/>
    <xf numFmtId="167" fontId="0" fillId="0" borderId="0" xfId="0" applyNumberFormat="1"/>
    <xf numFmtId="0" fontId="0" fillId="2" borderId="0" xfId="0" applyFill="1" applyAlignment="1">
      <alignment horizontal="center"/>
    </xf>
    <xf numFmtId="0" fontId="0" fillId="0" borderId="1" xfId="0" applyFont="1" applyFill="1" applyBorder="1"/>
    <xf numFmtId="0" fontId="0" fillId="0" borderId="0" xfId="0" applyFill="1" applyAlignment="1">
      <alignment horizontal="center"/>
    </xf>
  </cellXfs>
  <cellStyles count="2">
    <cellStyle name="Normal" xfId="0" builtinId="0"/>
    <cellStyle name="Pourcentage" xfId="1" builtinId="5"/>
  </cellStyles>
  <dxfs count="39"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relativeIndent="255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9" formatCode="dd/mm/yyyy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numFmt numFmtId="19" formatCode="dd/mm/yyyy"/>
    </dxf>
    <dxf>
      <numFmt numFmtId="19" formatCode="dd/mm/yyyy"/>
    </dxf>
    <dxf>
      <numFmt numFmtId="0" formatCode="General"/>
    </dxf>
  </dxfs>
  <tableStyles count="0" defaultTableStyle="TableStyleMedium2" defaultPivotStyle="PivotStyleLight16"/>
  <colors>
    <mruColors>
      <color rgb="FF811008"/>
      <color rgb="FFA50021"/>
      <color rgb="FFCC0066"/>
      <color rgb="FF000000"/>
      <color rgb="FFFF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ables/table1.xml><?xml version="1.0" encoding="utf-8"?>
<table xmlns="http://schemas.openxmlformats.org/spreadsheetml/2006/main" id="2" name="tabJoueur" displayName="tabJoueur" ref="A1:P51" totalsRowShown="0">
  <autoFilter ref="A1:P51"/>
  <sortState ref="A2:P49">
    <sortCondition ref="B1:B49"/>
  </sortState>
  <tableColumns count="16">
    <tableColumn id="13" name="PrenomNom" dataDxfId="38">
      <calculatedColumnFormula>LEFT(tabJoueur[[#This Row],[Prénom]],1)&amp;tabJoueur[[#This Row],[Nom]]</calculatedColumnFormula>
    </tableColumn>
    <tableColumn id="1" name="Nom"/>
    <tableColumn id="2" name="Prénom"/>
    <tableColumn id="10" name="poule"/>
    <tableColumn id="3" name="Poste"/>
    <tableColumn id="4" name="Photo">
      <calculatedColumnFormula>"\photos\" &amp; LEFT(tabJoueur[[#This Row],[Prénom]],1) &amp; tabJoueur[[#This Row],[Nom]] &amp; ".jpg"</calculatedColumnFormula>
    </tableColumn>
    <tableColumn id="14" name="Mini Photo">
      <calculatedColumnFormula>"\photos\" &amp; LEFT(tabJoueur[[#This Row],[Prénom]],1) &amp; tabJoueur[[#This Row],[Nom]] &amp; "_mini.jpg"</calculatedColumnFormula>
    </tableColumn>
    <tableColumn id="9" name="date de naissance" dataDxfId="37"/>
    <tableColumn id="5" name="Age">
      <calculatedColumnFormula>TODAY()-tabJoueur[[#This Row],[date de naissance]]</calculatedColumnFormula>
    </tableColumn>
    <tableColumn id="12" name="Nationalité"/>
    <tableColumn id="11" name="Taille"/>
    <tableColumn id="6" name="Poids"/>
    <tableColumn id="7" name="Club formateur"/>
    <tableColumn id="8" name="Logo Club"/>
    <tableColumn id="15" name="Numligne">
      <calculatedColumnFormula>ROW(O2)</calculatedColumnFormula>
    </tableColumn>
    <tableColumn id="17" name="Colonne1" dataDxfId="36">
      <calculatedColumnFormula>TODAY()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Equipe" displayName="TabEquipe" ref="T1:W9" totalsRowShown="0" headerRowDxfId="35" dataDxfId="34">
  <autoFilter ref="T1:W9"/>
  <tableColumns count="4">
    <tableColumn id="1" name="Equipe" dataDxfId="33"/>
    <tableColumn id="2" name="Couleur" dataDxfId="32"/>
    <tableColumn id="3" name="Couleur fond" dataDxfId="31"/>
    <tableColumn id="4" name="Couleur txt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au1" displayName="Tableau1" ref="A70:L76" totalsRowShown="0">
  <autoFilter ref="A70:L76"/>
  <tableColumns count="12">
    <tableColumn id="9" name="Clé" dataDxfId="29">
      <calculatedColumnFormula>Tableau1[[#This Row],[date]]&amp;"-"&amp;Tableau1[[#This Row],[Elite]]&amp;"-"&amp;Tableau1[[#This Row],[Partie]]</calculatedColumnFormula>
    </tableColumn>
    <tableColumn id="1" name="date"/>
    <tableColumn id="2" name="Elite"/>
    <tableColumn id="6" name="Partie"/>
    <tableColumn id="5" name="E1-J1" dataDxfId="28">
      <calculatedColumnFormula>Tableau1[[#This Row],[date]]&amp;"-"&amp;Tableau1[[#This Row],[Elite]]</calculatedColumnFormula>
    </tableColumn>
    <tableColumn id="3" name="E1-J2"/>
    <tableColumn id="4" name="E2-J1" dataDxfId="27"/>
    <tableColumn id="7" name="E2-J2" dataDxfId="26"/>
    <tableColumn id="8" name="LE1J1" dataDxfId="25">
      <calculatedColumnFormula>VLOOKUP(Tableau1[[#This Row],[E1-J1]],tabJoueur[],15,FALSE)</calculatedColumnFormula>
    </tableColumn>
    <tableColumn id="10" name="LE1J2" dataDxfId="24">
      <calculatedColumnFormula>VLOOKUP(Tableau1[[#This Row],[E1-J2]],tabJoueur[],15,FALSE)</calculatedColumnFormula>
    </tableColumn>
    <tableColumn id="11" name="LE2J1" dataDxfId="23">
      <calculatedColumnFormula>VLOOKUP(Tableau1[[#This Row],[E2-J1]],tabJoueur[],15,FALSE)</calculatedColumnFormula>
    </tableColumn>
    <tableColumn id="12" name="LE2J2" dataDxfId="22">
      <calculatedColumnFormula>VLOOKUP(Tableau1[[#This Row],[E2-J2]],tabJoueur[],15,FALSE)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Mondiaux" displayName="TabMondiaux" ref="A1:K30" totalsRowShown="0">
  <autoFilter ref="A1:K30">
    <filterColumn colId="10"/>
  </autoFilter>
  <tableColumns count="11">
    <tableColumn id="1" name="Partie" dataDxfId="21">
      <calculatedColumnFormula>CONCATENATE(B2,"-",C2,"-",D2)</calculatedColumnFormula>
    </tableColumn>
    <tableColumn id="2" name="Jour"/>
    <tableColumn id="3" name="Catégorie"/>
    <tableColumn id="4" name="Partie2" dataDxfId="20"/>
    <tableColumn id="5" name="Equipe 1"/>
    <tableColumn id="6" name="Equipe 2"/>
    <tableColumn id="7" name="Nation 1" dataDxfId="19">
      <calculatedColumnFormula>VLOOKUP(CONCATENATE(TabMondiaux[[#This Row],[Catégorie2]],TabMondiaux[[#This Row],[Equipe 1]]),TabEquipes[#All],4,FALSE)</calculatedColumnFormula>
    </tableColumn>
    <tableColumn id="8" name="Nation 2" dataDxfId="18">
      <calculatedColumnFormula>VLOOKUP(CONCATENATE(TabMondiaux[[#This Row],[Catégorie2]],TabMondiaux[[#This Row],[Equipe 2]]),TabEquipes[#All],4,FALSE)</calculatedColumnFormula>
    </tableColumn>
    <tableColumn id="9" name="Drapeau 1" dataDxfId="17">
      <calculatedColumnFormula>VLOOKUP(CONCATENATE(TabMondiaux[[#This Row],[Catégorie2]],TabMondiaux[[#This Row],[Equipe 1]]),TabEquipes[#All],5,FALSE)</calculatedColumnFormula>
    </tableColumn>
    <tableColumn id="10" name="Drapeau 2" dataDxfId="16">
      <calculatedColumnFormula>VLOOKUP(CONCATENATE(TabMondiaux[[#This Row],[Catégorie2]],TabMondiaux[[#This Row],[Equipe 2]]),TabEquipes[#All],5,FALSE)</calculatedColumnFormula>
    </tableColumn>
    <tableColumn id="11" name="Catégorie2" dataDxfId="15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5" name="TabEquipes" displayName="TabEquipes" ref="A1:I15" totalsRowShown="0" dataDxfId="14">
  <autoFilter ref="A1:I15"/>
  <tableColumns count="9">
    <tableColumn id="1" name="Clé" dataDxfId="13">
      <calculatedColumnFormula>_xlfn.CONCAT(B2,C2)</calculatedColumnFormula>
    </tableColumn>
    <tableColumn id="2" name="Catégorie" dataDxfId="12"/>
    <tableColumn id="3" name="Equipe" dataDxfId="11"/>
    <tableColumn id="4" name="Nation" dataDxfId="10"/>
    <tableColumn id="5" name="Drapeau" dataDxfId="9">
      <calculatedColumnFormula>"\photos\" &amp; D2 &amp; ".jpg"</calculatedColumnFormula>
    </tableColumn>
    <tableColumn id="6" name="Joueur 1" dataDxfId="8"/>
    <tableColumn id="7" name="Joueur 2" dataDxfId="7"/>
    <tableColumn id="8" name="Joueur 3" dataDxfId="6"/>
    <tableColumn id="9" name="Joueur 4" dataDxfId="5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6" name="Tableau6" displayName="Tableau6" ref="A1:D39" totalsRowShown="0" headerRowDxfId="4" dataDxfId="3">
  <autoFilter ref="A1:D39"/>
  <tableColumns count="4">
    <tableColumn id="1" name="Stats partie lundi 21/09/2020"/>
    <tableColumn id="2" name="Manche 1" dataDxfId="2"/>
    <tableColumn id="3" name="Manche 2" dataDxfId="1"/>
    <tableColumn id="4" name="Total" dataDxfId="0">
      <calculatedColumnFormula>B2+C2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Config"/>
  <dimension ref="A1:E9"/>
  <sheetViews>
    <sheetView workbookViewId="0">
      <selection activeCell="B1" sqref="B1"/>
    </sheetView>
  </sheetViews>
  <sheetFormatPr baseColWidth="10" defaultRowHeight="15"/>
  <cols>
    <col min="1" max="1" width="13.7109375" bestFit="1" customWidth="1"/>
    <col min="2" max="2" width="49.42578125" bestFit="1" customWidth="1"/>
    <col min="3" max="3" width="25" bestFit="1" customWidth="1"/>
    <col min="4" max="4" width="5.7109375" customWidth="1"/>
    <col min="5" max="5" width="24.28515625" bestFit="1" customWidth="1"/>
    <col min="6" max="6" width="5" customWidth="1"/>
    <col min="7" max="7" width="6.85546875" customWidth="1"/>
  </cols>
  <sheetData>
    <row r="1" spans="1:5">
      <c r="A1" t="s">
        <v>67</v>
      </c>
      <c r="B1" s="47" t="s">
        <v>376</v>
      </c>
      <c r="C1" t="str">
        <f>VLOOKUP(B1,TabMondiaux[],3,FALSE)</f>
        <v>Cesta Punta Masculine</v>
      </c>
      <c r="E1" t="str">
        <f>VLOOKUP(B1,TabMondiaux[],2,FALSE)</f>
        <v>Dimanche 23 octobre 2022</v>
      </c>
    </row>
    <row r="2" spans="1:5">
      <c r="A2" t="s">
        <v>76</v>
      </c>
      <c r="B2" s="47">
        <v>15</v>
      </c>
    </row>
    <row r="3" spans="1:5">
      <c r="A3" t="s">
        <v>75</v>
      </c>
      <c r="B3" s="47">
        <v>10</v>
      </c>
    </row>
    <row r="4" spans="1:5">
      <c r="A4" t="s">
        <v>352</v>
      </c>
      <c r="B4" s="49">
        <v>50</v>
      </c>
    </row>
    <row r="6" spans="1:5">
      <c r="A6" t="s">
        <v>258</v>
      </c>
      <c r="B6" t="str">
        <f>VLOOKUP(B1,TabMondiaux[],5,FALSE)</f>
        <v>FRANCE A</v>
      </c>
    </row>
    <row r="7" spans="1:5">
      <c r="A7" t="s">
        <v>256</v>
      </c>
      <c r="B7" s="12" t="s">
        <v>2</v>
      </c>
      <c r="C7">
        <f>VLOOKUP(B7,TabEquipe[[Couleur]:[Couleur txt]],2,FALSE)</f>
        <v>255</v>
      </c>
      <c r="D7">
        <f>VLOOKUP(B7,TabEquipe[[Couleur]:[Couleur txt]],3,FALSE)</f>
        <v>16777215</v>
      </c>
    </row>
    <row r="8" spans="1:5">
      <c r="A8" t="s">
        <v>259</v>
      </c>
      <c r="B8" t="str">
        <f>VLOOKUP(B1,TabMondiaux[],6,FALSE)</f>
        <v>ESPAGNE B</v>
      </c>
    </row>
    <row r="9" spans="1:5">
      <c r="A9" t="s">
        <v>257</v>
      </c>
      <c r="B9" s="12" t="s">
        <v>227</v>
      </c>
      <c r="C9">
        <f>VLOOKUP(B9,TabEquipe[[Couleur]:[Couleur txt]],2,FALSE)</f>
        <v>16777215</v>
      </c>
      <c r="D9">
        <f>VLOOKUP(B9,TabEquipe[[Couleur]:[Couleur txt]],3,FALSE)</f>
        <v>0</v>
      </c>
    </row>
  </sheetData>
  <phoneticPr fontId="3" type="noConversion"/>
  <dataValidations count="2">
    <dataValidation type="list" allowBlank="1" showInputMessage="1" showErrorMessage="1" sqref="B1">
      <formula1>ListePartieMondiaux</formula1>
    </dataValidation>
    <dataValidation type="list" allowBlank="1" showInputMessage="1" showErrorMessage="1" sqref="B7 B9">
      <formula1>ListeCouleur</formula1>
    </dataValidation>
  </dataValidations>
  <pageMargins left="0.7" right="0.7" top="0.75" bottom="0.75" header="0.3" footer="0.3"/>
  <pageSetup paperSize="9" orientation="portrait" r:id="rId1"/>
  <legacyDrawing r:id="rId2"/>
  <controls>
    <control shapeId="2049" r:id="rId3" name="BMenu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FSources_old"/>
  <dimension ref="A1:W76"/>
  <sheetViews>
    <sheetView topLeftCell="P1" workbookViewId="0">
      <selection activeCell="W2" sqref="W2"/>
    </sheetView>
  </sheetViews>
  <sheetFormatPr baseColWidth="10" defaultRowHeight="15"/>
  <cols>
    <col min="1" max="1" width="22.7109375" bestFit="1" customWidth="1"/>
    <col min="2" max="2" width="19.85546875" bestFit="1" customWidth="1"/>
    <col min="3" max="3" width="14.28515625" bestFit="1" customWidth="1"/>
    <col min="4" max="4" width="24.140625" bestFit="1" customWidth="1"/>
    <col min="5" max="5" width="11.42578125" bestFit="1" customWidth="1"/>
    <col min="6" max="6" width="28.7109375" bestFit="1" customWidth="1"/>
    <col min="7" max="7" width="33.28515625" bestFit="1" customWidth="1"/>
    <col min="8" max="8" width="18.140625" style="3" bestFit="1" customWidth="1"/>
    <col min="9" max="9" width="7.7109375" bestFit="1" customWidth="1"/>
    <col min="10" max="10" width="12.42578125" bestFit="1" customWidth="1"/>
    <col min="11" max="12" width="7.7109375" bestFit="1" customWidth="1"/>
    <col min="13" max="13" width="20.28515625" bestFit="1" customWidth="1"/>
    <col min="14" max="14" width="11.7109375" bestFit="1" customWidth="1"/>
    <col min="15" max="16" width="11.28515625" bestFit="1" customWidth="1"/>
  </cols>
  <sheetData>
    <row r="1" spans="1:23">
      <c r="A1" t="s">
        <v>77</v>
      </c>
      <c r="B1" t="s">
        <v>8</v>
      </c>
      <c r="C1" t="s">
        <v>9</v>
      </c>
      <c r="D1" t="s">
        <v>29</v>
      </c>
      <c r="E1" t="s">
        <v>7</v>
      </c>
      <c r="F1" t="s">
        <v>10</v>
      </c>
      <c r="G1" t="s">
        <v>78</v>
      </c>
      <c r="H1" s="3" t="s">
        <v>27</v>
      </c>
      <c r="I1" t="s">
        <v>11</v>
      </c>
      <c r="J1" t="s">
        <v>55</v>
      </c>
      <c r="K1" t="s">
        <v>12</v>
      </c>
      <c r="L1" t="s">
        <v>56</v>
      </c>
      <c r="M1" t="s">
        <v>61</v>
      </c>
      <c r="N1" t="s">
        <v>18</v>
      </c>
      <c r="O1" t="s">
        <v>84</v>
      </c>
      <c r="P1" t="s">
        <v>225</v>
      </c>
      <c r="T1" s="5" t="s">
        <v>0</v>
      </c>
      <c r="U1" s="5" t="s">
        <v>1</v>
      </c>
      <c r="V1" s="5" t="s">
        <v>3</v>
      </c>
      <c r="W1" s="5" t="s">
        <v>4</v>
      </c>
    </row>
    <row r="2" spans="1:23">
      <c r="A2" s="41" t="str">
        <f>LEFT(tabJoueur[[#This Row],[Prénom]],1)&amp;tabJoueur[[#This Row],[Nom]]</f>
        <v>IALDAZABAL</v>
      </c>
      <c r="B2" t="s">
        <v>285</v>
      </c>
      <c r="C2" t="s">
        <v>286</v>
      </c>
      <c r="E2" t="s">
        <v>14</v>
      </c>
      <c r="F2" t="str">
        <f>"\photos\" &amp; LEFT(tabJoueur[[#This Row],[Prénom]],1) &amp; tabJoueur[[#This Row],[Nom]] &amp; ".jpg"</f>
        <v>\photos\IALDAZABAL.jpg</v>
      </c>
      <c r="G2" t="str">
        <f>"\photos\" &amp; LEFT(tabJoueur[[#This Row],[Prénom]],1) &amp; tabJoueur[[#This Row],[Nom]] &amp; "_mini.jpg"</f>
        <v>\photos\IALDAZABAL_mini.jpg</v>
      </c>
      <c r="H2" s="3">
        <v>31789</v>
      </c>
      <c r="I2" s="14">
        <f ca="1">TODAY()-tabJoueur[[#This Row],[date de naissance]]</f>
        <v>13068</v>
      </c>
      <c r="J2" t="s">
        <v>57</v>
      </c>
      <c r="K2" s="35">
        <v>1.94</v>
      </c>
      <c r="L2">
        <v>92</v>
      </c>
      <c r="M2" t="s">
        <v>287</v>
      </c>
      <c r="O2">
        <f>ROW(O2)</f>
        <v>2</v>
      </c>
      <c r="P2" s="3">
        <f t="shared" ref="P2:P33" ca="1" si="0">TODAY()</f>
        <v>44857</v>
      </c>
      <c r="T2" s="1">
        <v>1</v>
      </c>
      <c r="U2" s="37" t="s">
        <v>2</v>
      </c>
      <c r="V2" s="37">
        <v>255</v>
      </c>
      <c r="W2" s="38">
        <v>16777215</v>
      </c>
    </row>
    <row r="3" spans="1:23">
      <c r="A3" t="str">
        <f>LEFT(tabJoueur[[#This Row],[Prénom]],1)&amp;tabJoueur[[#This Row],[Nom]]</f>
        <v>SAMATI</v>
      </c>
      <c r="B3" t="s">
        <v>42</v>
      </c>
      <c r="C3" t="s">
        <v>43</v>
      </c>
      <c r="D3" t="s">
        <v>30</v>
      </c>
      <c r="E3" t="s">
        <v>14</v>
      </c>
      <c r="F3" t="str">
        <f>"\photos\" &amp; LEFT(tabJoueur[[#This Row],[Prénom]],1) &amp; tabJoueur[[#This Row],[Nom]] &amp; ".jpg"</f>
        <v>\photos\SAMATI.jpg</v>
      </c>
      <c r="G3" t="str">
        <f>"\photos\" &amp; LEFT(tabJoueur[[#This Row],[Prénom]],1) &amp; tabJoueur[[#This Row],[Nom]] &amp; "_mini.jpg"</f>
        <v>\photos\SAMATI_mini.jpg</v>
      </c>
      <c r="H3" s="3">
        <v>31714</v>
      </c>
      <c r="I3" s="14">
        <f ca="1">TODAY()-tabJoueur[[#This Row],[date de naissance]]</f>
        <v>13143</v>
      </c>
      <c r="J3" t="s">
        <v>59</v>
      </c>
      <c r="K3">
        <v>1.81</v>
      </c>
      <c r="L3">
        <v>83</v>
      </c>
      <c r="M3" t="s">
        <v>65</v>
      </c>
      <c r="O3">
        <f t="shared" ref="O3:O50" si="1">ROW(O3)</f>
        <v>3</v>
      </c>
      <c r="P3" s="3">
        <f t="shared" ca="1" si="0"/>
        <v>44857</v>
      </c>
      <c r="T3" s="1">
        <v>2</v>
      </c>
      <c r="U3" s="39" t="s">
        <v>260</v>
      </c>
      <c r="V3" s="39">
        <v>5287936</v>
      </c>
      <c r="W3" s="40">
        <v>0</v>
      </c>
    </row>
    <row r="4" spans="1:23">
      <c r="A4" s="41" t="str">
        <f>LEFT(tabJoueur[[#This Row],[Prénom]],1)&amp;tabJoueur[[#This Row],[Nom]]</f>
        <v>XBARANDIKA</v>
      </c>
      <c r="B4" t="s">
        <v>300</v>
      </c>
      <c r="C4" t="s">
        <v>301</v>
      </c>
      <c r="E4" t="s">
        <v>13</v>
      </c>
      <c r="F4" t="str">
        <f>"\photos\" &amp; LEFT(tabJoueur[[#This Row],[Prénom]],1) &amp; tabJoueur[[#This Row],[Nom]] &amp; ".jpg"</f>
        <v>\photos\XBARANDIKA.jpg</v>
      </c>
      <c r="G4" t="str">
        <f>"\photos\" &amp; LEFT(tabJoueur[[#This Row],[Prénom]],1) &amp; tabJoueur[[#This Row],[Nom]] &amp; "_mini.jpg"</f>
        <v>\photos\XBARANDIKA_mini.jpg</v>
      </c>
      <c r="H4" s="3">
        <v>32955</v>
      </c>
      <c r="I4" s="14">
        <f ca="1">TODAY()-tabJoueur[[#This Row],[date de naissance]]</f>
        <v>11902</v>
      </c>
      <c r="J4" t="s">
        <v>57</v>
      </c>
      <c r="K4">
        <v>1.8</v>
      </c>
      <c r="L4">
        <v>80</v>
      </c>
      <c r="M4" t="s">
        <v>274</v>
      </c>
      <c r="O4">
        <f t="shared" si="1"/>
        <v>4</v>
      </c>
      <c r="P4" s="3">
        <f t="shared" ca="1" si="0"/>
        <v>44857</v>
      </c>
      <c r="T4" s="1">
        <v>3</v>
      </c>
      <c r="U4" s="37" t="s">
        <v>226</v>
      </c>
      <c r="V4" s="37">
        <v>12611584</v>
      </c>
      <c r="W4" s="38">
        <v>16777215</v>
      </c>
    </row>
    <row r="5" spans="1:23">
      <c r="A5" t="str">
        <f>LEFT(tabJoueur[[#This Row],[Prénom]],1)&amp;tabJoueur[[#This Row],[Nom]]</f>
        <v>TBASQUE</v>
      </c>
      <c r="B5" t="s">
        <v>44</v>
      </c>
      <c r="C5" t="s">
        <v>45</v>
      </c>
      <c r="D5" t="s">
        <v>30</v>
      </c>
      <c r="E5" t="s">
        <v>14</v>
      </c>
      <c r="F5" t="str">
        <f>"\photos\" &amp; LEFT(tabJoueur[[#This Row],[Prénom]],1) &amp; tabJoueur[[#This Row],[Nom]] &amp; ".jpg"</f>
        <v>\photos\TBASQUE.jpg</v>
      </c>
      <c r="G5" t="str">
        <f>"\photos\" &amp; LEFT(tabJoueur[[#This Row],[Prénom]],1) &amp; tabJoueur[[#This Row],[Nom]] &amp; "_mini.jpg"</f>
        <v>\photos\TBASQUE_mini.jpg</v>
      </c>
      <c r="H5" s="3">
        <v>35236</v>
      </c>
      <c r="I5" s="14">
        <f ca="1">TODAY()-tabJoueur[[#This Row],[date de naissance]]</f>
        <v>9621</v>
      </c>
      <c r="J5" t="s">
        <v>59</v>
      </c>
      <c r="K5" s="35">
        <v>1.8</v>
      </c>
      <c r="L5">
        <v>76</v>
      </c>
      <c r="M5" t="s">
        <v>65</v>
      </c>
      <c r="O5">
        <f t="shared" si="1"/>
        <v>5</v>
      </c>
      <c r="P5" s="3">
        <f t="shared" ca="1" si="0"/>
        <v>44857</v>
      </c>
      <c r="T5" s="1">
        <v>4</v>
      </c>
      <c r="U5" s="39" t="s">
        <v>227</v>
      </c>
      <c r="V5" s="39">
        <v>16777215</v>
      </c>
      <c r="W5" s="40">
        <v>0</v>
      </c>
    </row>
    <row r="6" spans="1:23">
      <c r="A6" s="41" t="str">
        <f>LEFT(tabJoueur[[#This Row],[Prénom]],1)&amp;tabJoueur[[#This Row],[Nom]]</f>
        <v>MBENETRIX</v>
      </c>
      <c r="B6" t="s">
        <v>297</v>
      </c>
      <c r="C6" t="s">
        <v>267</v>
      </c>
      <c r="E6" t="s">
        <v>13</v>
      </c>
      <c r="F6" t="str">
        <f>"\photos\" &amp; LEFT(tabJoueur[[#This Row],[Prénom]],1) &amp; tabJoueur[[#This Row],[Nom]] &amp; ".jpg"</f>
        <v>\photos\MBENETRIX.jpg</v>
      </c>
      <c r="G6" t="str">
        <f>"\photos\" &amp; LEFT(tabJoueur[[#This Row],[Prénom]],1) &amp; tabJoueur[[#This Row],[Nom]] &amp; "_mini.jpg"</f>
        <v>\photos\MBENETRIX_mini.jpg</v>
      </c>
      <c r="H6" s="3">
        <v>37580</v>
      </c>
      <c r="I6" s="14">
        <f ca="1">TODAY()-tabJoueur[[#This Row],[date de naissance]]</f>
        <v>7277</v>
      </c>
      <c r="J6" t="s">
        <v>59</v>
      </c>
      <c r="K6">
        <v>1.82</v>
      </c>
      <c r="L6">
        <v>75</v>
      </c>
      <c r="O6">
        <f t="shared" si="1"/>
        <v>6</v>
      </c>
      <c r="P6" s="3">
        <f t="shared" ca="1" si="0"/>
        <v>44857</v>
      </c>
      <c r="T6" s="1">
        <v>5</v>
      </c>
      <c r="U6" s="1" t="s">
        <v>228</v>
      </c>
      <c r="V6" s="1">
        <v>0</v>
      </c>
      <c r="W6" s="1">
        <v>16777215</v>
      </c>
    </row>
    <row r="7" spans="1:23">
      <c r="A7" t="str">
        <f>LEFT(tabJoueur[[#This Row],[Prénom]],1)&amp;tabJoueur[[#This Row],[Nom]]</f>
        <v>MBERDOULAY</v>
      </c>
      <c r="B7" t="s">
        <v>263</v>
      </c>
      <c r="C7" t="s">
        <v>267</v>
      </c>
      <c r="D7" t="s">
        <v>261</v>
      </c>
      <c r="E7" t="s">
        <v>14</v>
      </c>
      <c r="F7" t="s">
        <v>276</v>
      </c>
      <c r="G7" t="s">
        <v>277</v>
      </c>
      <c r="H7" s="3">
        <v>36750</v>
      </c>
      <c r="I7" s="14">
        <f ca="1">TODAY()-tabJoueur[[#This Row],[date de naissance]]</f>
        <v>8107</v>
      </c>
      <c r="J7" t="s">
        <v>59</v>
      </c>
      <c r="K7">
        <v>1.87</v>
      </c>
      <c r="L7">
        <v>80</v>
      </c>
      <c r="M7" t="s">
        <v>65</v>
      </c>
      <c r="O7">
        <f t="shared" si="1"/>
        <v>7</v>
      </c>
      <c r="P7" s="3">
        <f t="shared" ca="1" si="0"/>
        <v>44857</v>
      </c>
      <c r="T7" s="1">
        <v>6</v>
      </c>
      <c r="U7" s="1" t="s">
        <v>229</v>
      </c>
      <c r="V7" s="1">
        <v>65535</v>
      </c>
      <c r="W7" s="1">
        <v>0</v>
      </c>
    </row>
    <row r="8" spans="1:23">
      <c r="A8" t="str">
        <f>LEFT(tabJoueur[[#This Row],[Prénom]],1)&amp;tabJoueur[[#This Row],[Nom]]</f>
        <v>TBERTHON</v>
      </c>
      <c r="B8" t="s">
        <v>24</v>
      </c>
      <c r="C8" t="s">
        <v>91</v>
      </c>
      <c r="D8" t="s">
        <v>74</v>
      </c>
      <c r="E8" t="s">
        <v>14</v>
      </c>
      <c r="F8" t="str">
        <f>"\photos\" &amp; LEFT(tabJoueur[[#This Row],[Prénom]],1) &amp; tabJoueur[[#This Row],[Nom]] &amp; ".jpg"</f>
        <v>\photos\TBERTHON.jpg</v>
      </c>
      <c r="G8" t="str">
        <f>"\photos\" &amp; LEFT(tabJoueur[[#This Row],[Prénom]],1) &amp; tabJoueur[[#This Row],[Nom]] &amp; "_mini.jpg"</f>
        <v>\photos\TBERTHON_mini.jpg</v>
      </c>
      <c r="H8" s="3">
        <v>36184</v>
      </c>
      <c r="I8" s="14">
        <f ca="1">TODAY()-tabJoueur[[#This Row],[date de naissance]]</f>
        <v>8673</v>
      </c>
      <c r="J8" t="s">
        <v>59</v>
      </c>
      <c r="M8" t="s">
        <v>17</v>
      </c>
      <c r="N8" t="s">
        <v>20</v>
      </c>
      <c r="O8">
        <f t="shared" si="1"/>
        <v>8</v>
      </c>
      <c r="P8" s="3">
        <f t="shared" ca="1" si="0"/>
        <v>44857</v>
      </c>
      <c r="T8" s="1">
        <v>7</v>
      </c>
      <c r="U8" s="1" t="s">
        <v>230</v>
      </c>
      <c r="V8" s="1">
        <v>6684876</v>
      </c>
      <c r="W8" s="1">
        <v>16777215</v>
      </c>
    </row>
    <row r="9" spans="1:23">
      <c r="A9" t="str">
        <f>LEFT(tabJoueur[[#This Row],[Prénom]],1)&amp;tabJoueur[[#This Row],[Nom]]</f>
        <v>ADE BETELU</v>
      </c>
      <c r="B9" t="s">
        <v>238</v>
      </c>
      <c r="C9" t="s">
        <v>239</v>
      </c>
      <c r="D9" t="s">
        <v>74</v>
      </c>
      <c r="E9" t="s">
        <v>14</v>
      </c>
      <c r="F9" t="str">
        <f>"\photos\" &amp; LEFT(tabJoueur[[#This Row],[Prénom]],1) &amp; tabJoueur[[#This Row],[Nom]] &amp; ".jpg"</f>
        <v>\photos\ADE BETELU.jpg</v>
      </c>
      <c r="G9" t="str">
        <f>"\photos\" &amp; LEFT(tabJoueur[[#This Row],[Prénom]],1) &amp; tabJoueur[[#This Row],[Nom]] &amp; "_mini.jpg"</f>
        <v>\photos\ADE BETELU_mini.jpg</v>
      </c>
      <c r="H9" s="3">
        <v>36152</v>
      </c>
      <c r="I9" s="14">
        <f ca="1">TODAY()-tabJoueur[[#This Row],[date de naissance]]</f>
        <v>8705</v>
      </c>
      <c r="J9" t="s">
        <v>59</v>
      </c>
      <c r="K9" s="35">
        <v>1.75</v>
      </c>
      <c r="L9">
        <v>80</v>
      </c>
      <c r="M9" t="s">
        <v>17</v>
      </c>
      <c r="N9" t="s">
        <v>20</v>
      </c>
      <c r="O9">
        <f t="shared" si="1"/>
        <v>9</v>
      </c>
      <c r="P9" s="3">
        <f t="shared" ca="1" si="0"/>
        <v>44857</v>
      </c>
      <c r="T9" s="1">
        <v>8</v>
      </c>
      <c r="U9" s="1" t="s">
        <v>231</v>
      </c>
      <c r="V9" s="1">
        <v>10498160</v>
      </c>
      <c r="W9" s="1">
        <v>16777215</v>
      </c>
    </row>
    <row r="10" spans="1:23">
      <c r="A10" t="str">
        <f>LEFT(tabJoueur[[#This Row],[Prénom]],1)&amp;tabJoueur[[#This Row],[Nom]]</f>
        <v>MEGIGUREN</v>
      </c>
      <c r="B10" t="s">
        <v>31</v>
      </c>
      <c r="C10" t="s">
        <v>32</v>
      </c>
      <c r="D10" t="s">
        <v>30</v>
      </c>
      <c r="E10" t="s">
        <v>13</v>
      </c>
      <c r="F10" t="str">
        <f>"\photos\" &amp; LEFT(tabJoueur[[#This Row],[Prénom]],1) &amp; tabJoueur[[#This Row],[Nom]] &amp; ".jpg"</f>
        <v>\photos\MEGIGUREN.jpg</v>
      </c>
      <c r="G10" t="str">
        <f>"\photos\" &amp; LEFT(tabJoueur[[#This Row],[Prénom]],1) &amp; tabJoueur[[#This Row],[Nom]] &amp; "_mini.jpg"</f>
        <v>\photos\MEGIGUREN_mini.jpg</v>
      </c>
      <c r="H10" s="3">
        <v>28139</v>
      </c>
      <c r="I10" s="14">
        <f ca="1">TODAY()-tabJoueur[[#This Row],[date de naissance]]</f>
        <v>16718</v>
      </c>
      <c r="J10" t="s">
        <v>57</v>
      </c>
      <c r="K10" s="35">
        <v>1.8</v>
      </c>
      <c r="L10">
        <v>80</v>
      </c>
      <c r="M10" t="s">
        <v>58</v>
      </c>
      <c r="O10">
        <f t="shared" si="1"/>
        <v>10</v>
      </c>
      <c r="P10" s="3">
        <f t="shared" ca="1" si="0"/>
        <v>44857</v>
      </c>
    </row>
    <row r="11" spans="1:23">
      <c r="A11" s="41" t="str">
        <f>LEFT(tabJoueur[[#This Row],[Prénom]],1)&amp;tabJoueur[[#This Row],[Nom]]</f>
        <v>AERKIAGA</v>
      </c>
      <c r="B11" t="s">
        <v>290</v>
      </c>
      <c r="C11" t="s">
        <v>291</v>
      </c>
      <c r="E11" t="s">
        <v>13</v>
      </c>
      <c r="F11" t="str">
        <f>"\photos\" &amp; LEFT(tabJoueur[[#This Row],[Prénom]],1) &amp; tabJoueur[[#This Row],[Nom]] &amp; ".jpg"</f>
        <v>\photos\AERKIAGA.jpg</v>
      </c>
      <c r="G11" t="str">
        <f>"\photos\" &amp; LEFT(tabJoueur[[#This Row],[Prénom]],1) &amp; tabJoueur[[#This Row],[Nom]] &amp; "_mini.jpg"</f>
        <v>\photos\AERKIAGA_mini.jpg</v>
      </c>
      <c r="H11" s="3">
        <v>31937</v>
      </c>
      <c r="I11" s="14">
        <f ca="1">TODAY()-tabJoueur[[#This Row],[date de naissance]]</f>
        <v>12920</v>
      </c>
      <c r="J11" t="s">
        <v>57</v>
      </c>
      <c r="K11" s="35">
        <v>1.8</v>
      </c>
      <c r="L11">
        <v>85</v>
      </c>
      <c r="M11" t="s">
        <v>294</v>
      </c>
      <c r="O11">
        <f t="shared" si="1"/>
        <v>11</v>
      </c>
      <c r="P11" s="3">
        <f t="shared" ca="1" si="0"/>
        <v>44857</v>
      </c>
    </row>
    <row r="12" spans="1:23">
      <c r="A12" t="str">
        <f>LEFT(tabJoueur[[#This Row],[Prénom]],1)&amp;tabJoueur[[#This Row],[Nom]]</f>
        <v>IETCHEBERRY</v>
      </c>
      <c r="B12" t="s">
        <v>23</v>
      </c>
      <c r="C12" t="s">
        <v>222</v>
      </c>
      <c r="D12" t="s">
        <v>74</v>
      </c>
      <c r="E12" t="s">
        <v>13</v>
      </c>
      <c r="F12" t="str">
        <f>"\photos\" &amp; LEFT(tabJoueur[[#This Row],[Prénom]],1) &amp; tabJoueur[[#This Row],[Nom]] &amp; ".jpg"</f>
        <v>\photos\IETCHEBERRY.jpg</v>
      </c>
      <c r="G12" t="str">
        <f>"\photos\" &amp; LEFT(tabJoueur[[#This Row],[Prénom]],1) &amp; tabJoueur[[#This Row],[Nom]] &amp; "_mini.jpg"</f>
        <v>\photos\IETCHEBERRY_mini.jpg</v>
      </c>
      <c r="H12" s="3">
        <v>36084</v>
      </c>
      <c r="I12" s="14">
        <f ca="1">TODAY()-tabJoueur[[#This Row],[date de naissance]]</f>
        <v>8773</v>
      </c>
      <c r="J12" t="s">
        <v>59</v>
      </c>
      <c r="K12">
        <v>1.81</v>
      </c>
      <c r="L12">
        <v>75</v>
      </c>
      <c r="M12" t="s">
        <v>64</v>
      </c>
      <c r="O12">
        <f t="shared" si="1"/>
        <v>12</v>
      </c>
      <c r="P12" s="3">
        <f t="shared" ca="1" si="0"/>
        <v>44857</v>
      </c>
    </row>
    <row r="13" spans="1:23">
      <c r="A13" t="str">
        <f>LEFT(tabJoueur[[#This Row],[Prénom]],1)&amp;tabJoueur[[#This Row],[Nom]]</f>
        <v>TETCHEGARAY</v>
      </c>
      <c r="B13" t="s">
        <v>88</v>
      </c>
      <c r="C13" t="s">
        <v>16</v>
      </c>
      <c r="D13" t="s">
        <v>74</v>
      </c>
      <c r="E13" t="s">
        <v>13</v>
      </c>
      <c r="F13" t="str">
        <f>"\photos\" &amp; LEFT(tabJoueur[[#This Row],[Prénom]],1) &amp; tabJoueur[[#This Row],[Nom]] &amp; ".jpg"</f>
        <v>\photos\TETCHEGARAY.jpg</v>
      </c>
      <c r="G13" t="str">
        <f>"\photos\" &amp; LEFT(tabJoueur[[#This Row],[Prénom]],1) &amp; tabJoueur[[#This Row],[Nom]] &amp; "_mini.jpg"</f>
        <v>\photos\TETCHEGARAY_mini.jpg</v>
      </c>
      <c r="H13" s="3">
        <v>36607</v>
      </c>
      <c r="I13" s="14">
        <f ca="1">TODAY()-tabJoueur[[#This Row],[date de naissance]]</f>
        <v>8250</v>
      </c>
      <c r="J13" t="s">
        <v>59</v>
      </c>
      <c r="K13">
        <v>1.88</v>
      </c>
      <c r="L13">
        <v>90</v>
      </c>
      <c r="M13" t="s">
        <v>60</v>
      </c>
      <c r="O13">
        <f t="shared" si="1"/>
        <v>13</v>
      </c>
      <c r="P13" s="3">
        <f t="shared" ca="1" si="0"/>
        <v>44857</v>
      </c>
    </row>
    <row r="14" spans="1:23">
      <c r="A14" t="str">
        <f>LEFT(tabJoueur[[#This Row],[Prénom]],1)&amp;tabJoueur[[#This Row],[Nom]]</f>
        <v>NETCHETO</v>
      </c>
      <c r="B14" t="s">
        <v>46</v>
      </c>
      <c r="C14" t="s">
        <v>26</v>
      </c>
      <c r="D14" t="s">
        <v>30</v>
      </c>
      <c r="E14" t="s">
        <v>14</v>
      </c>
      <c r="F14" t="str">
        <f>"\photos\" &amp; LEFT(tabJoueur[[#This Row],[Prénom]],1) &amp; tabJoueur[[#This Row],[Nom]] &amp; ".jpg"</f>
        <v>\photos\NETCHETO.jpg</v>
      </c>
      <c r="G14" t="str">
        <f>"\photos\" &amp; LEFT(tabJoueur[[#This Row],[Prénom]],1) &amp; tabJoueur[[#This Row],[Nom]] &amp; "_mini.jpg"</f>
        <v>\photos\NETCHETO_mini.jpg</v>
      </c>
      <c r="H14" s="3">
        <v>32631</v>
      </c>
      <c r="I14" s="14">
        <f ca="1">TODAY()-tabJoueur[[#This Row],[date de naissance]]</f>
        <v>12226</v>
      </c>
      <c r="J14" t="s">
        <v>59</v>
      </c>
      <c r="K14" s="35">
        <v>1.8</v>
      </c>
      <c r="L14">
        <v>80</v>
      </c>
      <c r="M14" t="s">
        <v>65</v>
      </c>
      <c r="O14">
        <f t="shared" si="1"/>
        <v>14</v>
      </c>
      <c r="P14" s="3">
        <f t="shared" ca="1" si="0"/>
        <v>44857</v>
      </c>
    </row>
    <row r="15" spans="1:23">
      <c r="A15" t="str">
        <f>LEFT(tabJoueur[[#This Row],[Prénom]],1)&amp;tabJoueur[[#This Row],[Nom]]</f>
        <v>PETCHEVERRY</v>
      </c>
      <c r="B15" t="s">
        <v>47</v>
      </c>
      <c r="C15" t="s">
        <v>48</v>
      </c>
      <c r="D15" t="s">
        <v>30</v>
      </c>
      <c r="E15" t="s">
        <v>14</v>
      </c>
      <c r="F15" t="str">
        <f>"\photos\" &amp; LEFT(tabJoueur[[#This Row],[Prénom]],1) &amp; tabJoueur[[#This Row],[Nom]] &amp; ".jpg"</f>
        <v>\photos\PETCHEVERRY.jpg</v>
      </c>
      <c r="G15" t="str">
        <f>"\photos\" &amp; LEFT(tabJoueur[[#This Row],[Prénom]],1) &amp; tabJoueur[[#This Row],[Nom]] &amp; "_mini.jpg"</f>
        <v>\photos\PETCHEVERRY_mini.jpg</v>
      </c>
      <c r="H15" s="3">
        <v>33050</v>
      </c>
      <c r="I15" s="14">
        <f ca="1">TODAY()-tabJoueur[[#This Row],[date de naissance]]</f>
        <v>11807</v>
      </c>
      <c r="J15" t="s">
        <v>59</v>
      </c>
      <c r="K15">
        <v>1.91</v>
      </c>
      <c r="L15">
        <v>89</v>
      </c>
      <c r="M15" t="s">
        <v>66</v>
      </c>
      <c r="O15">
        <f t="shared" si="1"/>
        <v>15</v>
      </c>
      <c r="P15" s="3">
        <f t="shared" ca="1" si="0"/>
        <v>44857</v>
      </c>
    </row>
    <row r="16" spans="1:23">
      <c r="A16" t="str">
        <f>LEFT(tabJoueur[[#This Row],[Prénom]],1)&amp;tabJoueur[[#This Row],[Nom]]</f>
        <v>LGARCIA</v>
      </c>
      <c r="B16" t="s">
        <v>22</v>
      </c>
      <c r="C16" t="s">
        <v>33</v>
      </c>
      <c r="D16" t="s">
        <v>30</v>
      </c>
      <c r="E16" t="s">
        <v>13</v>
      </c>
      <c r="F16" t="str">
        <f>"\photos\" &amp; LEFT(tabJoueur[[#This Row],[Prénom]],1) &amp; tabJoueur[[#This Row],[Nom]] &amp; ".jpg"</f>
        <v>\photos\LGARCIA.jpg</v>
      </c>
      <c r="G16" t="str">
        <f>"\photos\" &amp; LEFT(tabJoueur[[#This Row],[Prénom]],1) &amp; tabJoueur[[#This Row],[Nom]] &amp; "_mini.jpg"</f>
        <v>\photos\LGARCIA_mini.jpg</v>
      </c>
      <c r="H16" s="3">
        <v>27261</v>
      </c>
      <c r="I16" s="14">
        <f ca="1">TODAY()-tabJoueur[[#This Row],[date de naissance]]</f>
        <v>17596</v>
      </c>
      <c r="J16" t="s">
        <v>59</v>
      </c>
      <c r="K16">
        <v>1.88</v>
      </c>
      <c r="L16">
        <v>100</v>
      </c>
      <c r="M16" t="s">
        <v>65</v>
      </c>
      <c r="O16">
        <f t="shared" si="1"/>
        <v>16</v>
      </c>
      <c r="P16" s="3">
        <f t="shared" ca="1" si="0"/>
        <v>44857</v>
      </c>
    </row>
    <row r="17" spans="1:16">
      <c r="A17" t="str">
        <f>LEFT(tabJoueur[[#This Row],[Prénom]],1)&amp;tabJoueur[[#This Row],[Nom]]</f>
        <v>CGARCIA</v>
      </c>
      <c r="B17" t="s">
        <v>22</v>
      </c>
      <c r="C17" t="s">
        <v>85</v>
      </c>
      <c r="D17" t="s">
        <v>74</v>
      </c>
      <c r="E17" t="s">
        <v>13</v>
      </c>
      <c r="F17" t="str">
        <f>"\photos\" &amp; LEFT(tabJoueur[[#This Row],[Prénom]],1) &amp; tabJoueur[[#This Row],[Nom]] &amp; ".jpg"</f>
        <v>\photos\CGARCIA.jpg</v>
      </c>
      <c r="G17" t="str">
        <f>"\photos\" &amp; LEFT(tabJoueur[[#This Row],[Prénom]],1) &amp; tabJoueur[[#This Row],[Nom]] &amp; "_mini.jpg"</f>
        <v>\photos\CGARCIA_mini.jpg</v>
      </c>
      <c r="H17" s="3">
        <v>37111</v>
      </c>
      <c r="I17" s="14">
        <f ca="1">TODAY()-tabJoueur[[#This Row],[date de naissance]]</f>
        <v>7746</v>
      </c>
      <c r="J17" t="s">
        <v>59</v>
      </c>
      <c r="K17">
        <v>1.87</v>
      </c>
      <c r="L17">
        <v>80</v>
      </c>
      <c r="M17" t="s">
        <v>65</v>
      </c>
      <c r="O17">
        <f t="shared" si="1"/>
        <v>17</v>
      </c>
      <c r="P17" s="3">
        <f t="shared" ca="1" si="0"/>
        <v>44857</v>
      </c>
    </row>
    <row r="18" spans="1:16">
      <c r="A18" s="41" t="str">
        <f>LEFT(tabJoueur[[#This Row],[Prénom]],1)&amp;tabJoueur[[#This Row],[Nom]]</f>
        <v>IGOIKOETXEA</v>
      </c>
      <c r="B18" t="s">
        <v>298</v>
      </c>
      <c r="C18" t="s">
        <v>299</v>
      </c>
      <c r="E18" t="s">
        <v>13</v>
      </c>
      <c r="F18" t="str">
        <f>"\photos\" &amp; LEFT(tabJoueur[[#This Row],[Prénom]],1) &amp; tabJoueur[[#This Row],[Nom]] &amp; ".jpg"</f>
        <v>\photos\IGOIKOETXEA.jpg</v>
      </c>
      <c r="G18" t="str">
        <f>"\photos\" &amp; LEFT(tabJoueur[[#This Row],[Prénom]],1) &amp; tabJoueur[[#This Row],[Nom]] &amp; "_mini.jpg"</f>
        <v>\photos\IGOIKOETXEA_mini.jpg</v>
      </c>
      <c r="H18" s="3">
        <v>29412</v>
      </c>
      <c r="I18" s="14">
        <f ca="1">TODAY()-tabJoueur[[#This Row],[date de naissance]]</f>
        <v>15445</v>
      </c>
      <c r="J18" t="s">
        <v>57</v>
      </c>
      <c r="K18">
        <v>1.93</v>
      </c>
      <c r="L18">
        <v>102</v>
      </c>
      <c r="M18" t="s">
        <v>295</v>
      </c>
      <c r="O18">
        <f t="shared" si="1"/>
        <v>18</v>
      </c>
      <c r="P18" s="3">
        <f t="shared" ca="1" si="0"/>
        <v>44857</v>
      </c>
    </row>
    <row r="19" spans="1:16">
      <c r="A19" t="str">
        <f>LEFT(tabJoueur[[#This Row],[Prénom]],1)&amp;tabJoueur[[#This Row],[Nom]]</f>
        <v>BGONZALEZ</v>
      </c>
      <c r="B19" t="s">
        <v>5</v>
      </c>
      <c r="C19" t="s">
        <v>15</v>
      </c>
      <c r="D19" t="s">
        <v>30</v>
      </c>
      <c r="E19" t="s">
        <v>13</v>
      </c>
      <c r="F19" t="str">
        <f>"\photos\" &amp; LEFT(tabJoueur[[#This Row],[Prénom]],1) &amp; tabJoueur[[#This Row],[Nom]] &amp; ".jpg"</f>
        <v>\photos\BGONZALEZ.jpg</v>
      </c>
      <c r="G19" t="str">
        <f>"\photos\" &amp; LEFT(tabJoueur[[#This Row],[Prénom]],1) &amp; tabJoueur[[#This Row],[Nom]] &amp; "_mini.jpg"</f>
        <v>\photos\BGONZALEZ_mini.jpg</v>
      </c>
      <c r="H19" s="3">
        <v>36221</v>
      </c>
      <c r="I19" s="14">
        <f ca="1">TODAY()-tabJoueur[[#This Row],[date de naissance]]</f>
        <v>8636</v>
      </c>
      <c r="J19" t="s">
        <v>59</v>
      </c>
      <c r="K19">
        <v>1.73</v>
      </c>
      <c r="L19">
        <v>63</v>
      </c>
      <c r="M19" t="s">
        <v>17</v>
      </c>
      <c r="N19" t="s">
        <v>20</v>
      </c>
      <c r="O19">
        <f t="shared" si="1"/>
        <v>19</v>
      </c>
      <c r="P19" s="3">
        <f t="shared" ca="1" si="0"/>
        <v>44857</v>
      </c>
    </row>
    <row r="20" spans="1:16">
      <c r="A20" t="str">
        <f>LEFT(tabJoueur[[#This Row],[Prénom]],1)&amp;tabJoueur[[#This Row],[Nom]]</f>
        <v>HIBAR</v>
      </c>
      <c r="B20" t="s">
        <v>86</v>
      </c>
      <c r="C20" t="s">
        <v>87</v>
      </c>
      <c r="D20" t="s">
        <v>74</v>
      </c>
      <c r="E20" t="s">
        <v>14</v>
      </c>
      <c r="F20" t="str">
        <f>"\photos\" &amp; LEFT(tabJoueur[[#This Row],[Prénom]],1) &amp; tabJoueur[[#This Row],[Nom]] &amp; ".jpg"</f>
        <v>\photos\HIBAR.jpg</v>
      </c>
      <c r="G20" t="str">
        <f>"\photos\" &amp; LEFT(tabJoueur[[#This Row],[Prénom]],1) &amp; tabJoueur[[#This Row],[Nom]] &amp; "_mini.jpg"</f>
        <v>\photos\HIBAR_mini.jpg</v>
      </c>
      <c r="H20" s="3">
        <v>36531</v>
      </c>
      <c r="I20" s="14">
        <f ca="1">TODAY()-tabJoueur[[#This Row],[date de naissance]]</f>
        <v>8326</v>
      </c>
      <c r="J20" t="s">
        <v>59</v>
      </c>
      <c r="K20">
        <v>1.77</v>
      </c>
      <c r="L20">
        <v>70</v>
      </c>
      <c r="M20" t="s">
        <v>65</v>
      </c>
      <c r="O20">
        <f t="shared" si="1"/>
        <v>20</v>
      </c>
      <c r="P20" s="3">
        <f t="shared" ca="1" si="0"/>
        <v>44857</v>
      </c>
    </row>
    <row r="21" spans="1:16">
      <c r="A21" t="str">
        <f>LEFT(tabJoueur[[#This Row],[Prénom]],1)&amp;tabJoueur[[#This Row],[Nom]]</f>
        <v>JIHITSAGUE</v>
      </c>
      <c r="B21" t="s">
        <v>89</v>
      </c>
      <c r="C21" t="s">
        <v>90</v>
      </c>
      <c r="D21" t="s">
        <v>74</v>
      </c>
      <c r="E21" t="s">
        <v>14</v>
      </c>
      <c r="F21" t="str">
        <f>"\photos\" &amp; LEFT(tabJoueur[[#This Row],[Prénom]],1) &amp; tabJoueur[[#This Row],[Nom]] &amp; ".jpg"</f>
        <v>\photos\JIHITSAGUE.jpg</v>
      </c>
      <c r="G21" t="str">
        <f>"\photos\" &amp; LEFT(tabJoueur[[#This Row],[Prénom]],1) &amp; tabJoueur[[#This Row],[Nom]] &amp; "_mini.jpg"</f>
        <v>\photos\JIHITSAGUE_mini.jpg</v>
      </c>
      <c r="I21" s="14">
        <f ca="1">TODAY()-tabJoueur[[#This Row],[date de naissance]]</f>
        <v>44857</v>
      </c>
      <c r="J21" t="s">
        <v>59</v>
      </c>
      <c r="M21" t="s">
        <v>64</v>
      </c>
      <c r="O21">
        <f t="shared" si="1"/>
        <v>21</v>
      </c>
      <c r="P21" s="3">
        <f t="shared" ca="1" si="0"/>
        <v>44857</v>
      </c>
    </row>
    <row r="22" spans="1:16">
      <c r="A22" t="str">
        <f>LEFT(tabJoueur[[#This Row],[Prénom]],1)&amp;tabJoueur[[#This Row],[Nom]]</f>
        <v>TINZA</v>
      </c>
      <c r="B22" t="s">
        <v>49</v>
      </c>
      <c r="C22" t="s">
        <v>50</v>
      </c>
      <c r="D22" t="s">
        <v>30</v>
      </c>
      <c r="E22" t="s">
        <v>14</v>
      </c>
      <c r="F22" t="str">
        <f>"\photos\" &amp; LEFT(tabJoueur[[#This Row],[Prénom]],1) &amp; tabJoueur[[#This Row],[Nom]] &amp; ".jpg"</f>
        <v>\photos\TINZA.jpg</v>
      </c>
      <c r="G22" t="str">
        <f>"\photos\" &amp; LEFT(tabJoueur[[#This Row],[Prénom]],1) &amp; tabJoueur[[#This Row],[Nom]] &amp; "_mini.jpg"</f>
        <v>\photos\TINZA_mini.jpg</v>
      </c>
      <c r="H22" s="3">
        <v>30362</v>
      </c>
      <c r="I22" s="14">
        <f ca="1">TODAY()-tabJoueur[[#This Row],[date de naissance]]</f>
        <v>14495</v>
      </c>
      <c r="J22" t="s">
        <v>59</v>
      </c>
      <c r="K22">
        <v>1.85</v>
      </c>
      <c r="L22">
        <v>85</v>
      </c>
      <c r="M22" t="s">
        <v>64</v>
      </c>
      <c r="O22">
        <f t="shared" si="1"/>
        <v>22</v>
      </c>
      <c r="P22" s="3">
        <f t="shared" ca="1" si="0"/>
        <v>44857</v>
      </c>
    </row>
    <row r="23" spans="1:16">
      <c r="A23" t="str">
        <f>LEFT(tabJoueur[[#This Row],[Prénom]],1)&amp;tabJoueur[[#This Row],[Nom]]</f>
        <v>EIRASTORZA</v>
      </c>
      <c r="B23" t="s">
        <v>283</v>
      </c>
      <c r="C23" t="s">
        <v>284</v>
      </c>
      <c r="E23" t="s">
        <v>14</v>
      </c>
      <c r="F23" t="str">
        <f>"\photos\" &amp; LEFT(tabJoueur[[#This Row],[Prénom]],1) &amp; tabJoueur[[#This Row],[Nom]] &amp; ".jpg"</f>
        <v>\photos\EIRASTORZA.jpg</v>
      </c>
      <c r="G23" t="str">
        <f>"\photos\" &amp; LEFT(tabJoueur[[#This Row],[Prénom]],1) &amp; tabJoueur[[#This Row],[Nom]] &amp; "_mini.jpg"</f>
        <v>\photos\EIRASTORZA_mini.jpg</v>
      </c>
      <c r="H23" s="3">
        <v>27987</v>
      </c>
      <c r="I23" s="14">
        <f ca="1">TODAY()-tabJoueur[[#This Row],[date de naissance]]</f>
        <v>16870</v>
      </c>
      <c r="J23" t="s">
        <v>59</v>
      </c>
      <c r="K23" s="35">
        <v>1.94</v>
      </c>
      <c r="L23">
        <v>106</v>
      </c>
      <c r="M23" t="s">
        <v>65</v>
      </c>
      <c r="O23">
        <f t="shared" si="1"/>
        <v>23</v>
      </c>
      <c r="P23" s="3">
        <f t="shared" ca="1" si="0"/>
        <v>44857</v>
      </c>
    </row>
    <row r="24" spans="1:16">
      <c r="A24" t="str">
        <f>LEFT(tabJoueur[[#This Row],[Prénom]],1)&amp;tabJoueur[[#This Row],[Nom]]</f>
        <v>KITHURRIA</v>
      </c>
      <c r="B24" t="s">
        <v>280</v>
      </c>
      <c r="C24" t="s">
        <v>281</v>
      </c>
      <c r="E24" t="s">
        <v>13</v>
      </c>
      <c r="F24" t="str">
        <f>"\photos\" &amp; LEFT(tabJoueur[[#This Row],[Prénom]],1) &amp; tabJoueur[[#This Row],[Nom]] &amp; ".jpg"</f>
        <v>\photos\KITHURRIA.jpg</v>
      </c>
      <c r="G24" t="str">
        <f>"\photos\" &amp; LEFT(tabJoueur[[#This Row],[Prénom]],1) &amp; tabJoueur[[#This Row],[Nom]] &amp; "_mini.jpg"</f>
        <v>\photos\KITHURRIA_mini.jpg</v>
      </c>
      <c r="H24" s="3">
        <v>33435</v>
      </c>
      <c r="I24" s="14">
        <f ca="1">TODAY()-tabJoueur[[#This Row],[date de naissance]]</f>
        <v>11422</v>
      </c>
      <c r="J24" t="s">
        <v>59</v>
      </c>
      <c r="K24" s="35">
        <v>1.8</v>
      </c>
      <c r="L24">
        <v>80</v>
      </c>
      <c r="M24" t="s">
        <v>255</v>
      </c>
      <c r="O24">
        <f t="shared" si="1"/>
        <v>24</v>
      </c>
      <c r="P24" s="3">
        <f t="shared" ca="1" si="0"/>
        <v>44857</v>
      </c>
    </row>
    <row r="25" spans="1:16">
      <c r="A25" t="str">
        <f>LEFT(tabJoueur[[#This Row],[Prénom]],1)&amp;tabJoueur[[#This Row],[Nom]]</f>
        <v>AITURRALDE</v>
      </c>
      <c r="B25" t="s">
        <v>245</v>
      </c>
      <c r="C25" t="s">
        <v>246</v>
      </c>
      <c r="D25" t="s">
        <v>74</v>
      </c>
      <c r="E25" t="s">
        <v>14</v>
      </c>
      <c r="F25" t="str">
        <f>"\photos\" &amp; LEFT(tabJoueur[[#This Row],[Prénom]],1) &amp; tabJoueur[[#This Row],[Nom]] &amp; ".jpg"</f>
        <v>\photos\AITURRALDE.jpg</v>
      </c>
      <c r="G25" t="str">
        <f>"\photos\" &amp; LEFT(tabJoueur[[#This Row],[Prénom]],1) &amp; tabJoueur[[#This Row],[Nom]] &amp; "_mini.jpg"</f>
        <v>\photos\AITURRALDE_mini.jpg</v>
      </c>
      <c r="H25" s="3">
        <v>35821</v>
      </c>
      <c r="I25" s="14">
        <f ca="1">TODAY()-tabJoueur[[#This Row],[date de naissance]]</f>
        <v>9036</v>
      </c>
      <c r="J25" t="s">
        <v>59</v>
      </c>
      <c r="K25" s="35">
        <v>1.8</v>
      </c>
      <c r="L25">
        <v>80</v>
      </c>
      <c r="M25" t="s">
        <v>17</v>
      </c>
      <c r="N25" t="s">
        <v>20</v>
      </c>
      <c r="O25">
        <f t="shared" si="1"/>
        <v>25</v>
      </c>
      <c r="P25" s="3">
        <f t="shared" ca="1" si="0"/>
        <v>44857</v>
      </c>
    </row>
    <row r="26" spans="1:16">
      <c r="A26" t="str">
        <f>LEFT(tabJoueur[[#This Row],[Prénom]],1)&amp;tabJoueur[[#This Row],[Nom]]</f>
        <v>RJOUANTEGUY</v>
      </c>
      <c r="B26" t="s">
        <v>275</v>
      </c>
      <c r="C26" t="s">
        <v>266</v>
      </c>
      <c r="D26" t="s">
        <v>261</v>
      </c>
      <c r="E26" t="s">
        <v>13</v>
      </c>
      <c r="F26" t="str">
        <f>"\photos\" &amp; LEFT(tabJoueur[[#This Row],[Prénom]],1) &amp; tabJoueur[[#This Row],[Nom]] &amp; ".jpg"</f>
        <v>\photos\RJOUANTEGUY.jpg</v>
      </c>
      <c r="G26" t="str">
        <f>"\photos\" &amp; LEFT(tabJoueur[[#This Row],[Prénom]],1) &amp; tabJoueur[[#This Row],[Nom]] &amp; "_mini.jpg"</f>
        <v>\photos\RJOUANTEGUY_mini.jpg</v>
      </c>
      <c r="H26" s="3">
        <v>37008</v>
      </c>
      <c r="I26" s="14">
        <f ca="1">TODAY()-tabJoueur[[#This Row],[date de naissance]]</f>
        <v>7849</v>
      </c>
      <c r="J26" t="s">
        <v>59</v>
      </c>
      <c r="M26" t="s">
        <v>255</v>
      </c>
      <c r="O26">
        <f t="shared" si="1"/>
        <v>26</v>
      </c>
      <c r="P26" s="3">
        <f t="shared" ca="1" si="0"/>
        <v>44857</v>
      </c>
    </row>
    <row r="27" spans="1:16">
      <c r="A27" t="str">
        <f>LEFT(tabJoueur[[#This Row],[Prénom]],1)&amp;tabJoueur[[#This Row],[Nom]]</f>
        <v>TLABORDE</v>
      </c>
      <c r="B27" t="s">
        <v>6</v>
      </c>
      <c r="C27" t="s">
        <v>16</v>
      </c>
      <c r="D27" t="s">
        <v>30</v>
      </c>
      <c r="E27" t="s">
        <v>14</v>
      </c>
      <c r="F27" t="str">
        <f>"\photos\" &amp; LEFT(tabJoueur[[#This Row],[Prénom]],1) &amp; tabJoueur[[#This Row],[Nom]] &amp; ".jpg"</f>
        <v>\photos\TLABORDE.jpg</v>
      </c>
      <c r="G27" t="str">
        <f>"\photos\" &amp; LEFT(tabJoueur[[#This Row],[Prénom]],1) &amp; tabJoueur[[#This Row],[Nom]] &amp; "_mini.jpg"</f>
        <v>\photos\TLABORDE_mini.jpg</v>
      </c>
      <c r="H27" s="3">
        <v>36008</v>
      </c>
      <c r="I27" s="14">
        <f ca="1">TODAY()-tabJoueur[[#This Row],[date de naissance]]</f>
        <v>8849</v>
      </c>
      <c r="J27" t="s">
        <v>59</v>
      </c>
      <c r="K27">
        <v>1.89</v>
      </c>
      <c r="L27">
        <v>84</v>
      </c>
      <c r="M27" t="s">
        <v>64</v>
      </c>
      <c r="O27">
        <f t="shared" si="1"/>
        <v>27</v>
      </c>
      <c r="P27" s="3">
        <f t="shared" ca="1" si="0"/>
        <v>44857</v>
      </c>
    </row>
    <row r="28" spans="1:16">
      <c r="A28" t="str">
        <f>LEFT(tabJoueur[[#This Row],[Prénom]],1)&amp;tabJoueur[[#This Row],[Nom]]</f>
        <v>LLADUCHE</v>
      </c>
      <c r="B28" t="s">
        <v>34</v>
      </c>
      <c r="C28" t="s">
        <v>35</v>
      </c>
      <c r="D28" t="s">
        <v>30</v>
      </c>
      <c r="E28" t="s">
        <v>13</v>
      </c>
      <c r="F28" t="str">
        <f>"\photos\" &amp; LEFT(tabJoueur[[#This Row],[Prénom]],1) &amp; tabJoueur[[#This Row],[Nom]] &amp; ".jpg"</f>
        <v>\photos\LLADUCHE.jpg</v>
      </c>
      <c r="G28" t="str">
        <f>"\photos\" &amp; LEFT(tabJoueur[[#This Row],[Prénom]],1) &amp; tabJoueur[[#This Row],[Nom]] &amp; "_mini.jpg"</f>
        <v>\photos\LLADUCHE_mini.jpg</v>
      </c>
      <c r="H28" s="3">
        <v>34043</v>
      </c>
      <c r="I28" s="14">
        <f ca="1">TODAY()-tabJoueur[[#This Row],[date de naissance]]</f>
        <v>10814</v>
      </c>
      <c r="J28" t="s">
        <v>59</v>
      </c>
      <c r="K28">
        <v>1.83</v>
      </c>
      <c r="L28">
        <v>84</v>
      </c>
      <c r="M28" t="s">
        <v>60</v>
      </c>
      <c r="O28">
        <f t="shared" si="1"/>
        <v>28</v>
      </c>
      <c r="P28" s="3">
        <f t="shared" ca="1" si="0"/>
        <v>44857</v>
      </c>
    </row>
    <row r="29" spans="1:16">
      <c r="A29" t="str">
        <f>LEFT(tabJoueur[[#This Row],[Prénom]],1)&amp;tabJoueur[[#This Row],[Nom]]</f>
        <v>ALALOO</v>
      </c>
      <c r="B29" t="s">
        <v>241</v>
      </c>
      <c r="C29" t="s">
        <v>242</v>
      </c>
      <c r="D29" t="s">
        <v>74</v>
      </c>
      <c r="E29" t="s">
        <v>14</v>
      </c>
      <c r="F29" t="str">
        <f>"\photos\" &amp; LEFT(tabJoueur[[#This Row],[Prénom]],1) &amp; tabJoueur[[#This Row],[Nom]] &amp; ".jpg"</f>
        <v>\photos\ALALOO.jpg</v>
      </c>
      <c r="G29" t="str">
        <f>"\photos\" &amp; LEFT(tabJoueur[[#This Row],[Prénom]],1) &amp; tabJoueur[[#This Row],[Nom]] &amp; "_mini.jpg"</f>
        <v>\photos\ALALOO_mini.jpg</v>
      </c>
      <c r="H29" s="3">
        <v>35418</v>
      </c>
      <c r="I29" s="14">
        <f ca="1">TODAY()-tabJoueur[[#This Row],[date de naissance]]</f>
        <v>9439</v>
      </c>
      <c r="J29" t="s">
        <v>59</v>
      </c>
      <c r="K29">
        <v>1.75</v>
      </c>
      <c r="L29">
        <v>70</v>
      </c>
      <c r="M29" t="s">
        <v>65</v>
      </c>
      <c r="O29">
        <f t="shared" si="1"/>
        <v>29</v>
      </c>
      <c r="P29" s="3">
        <f t="shared" ca="1" si="0"/>
        <v>44857</v>
      </c>
    </row>
    <row r="30" spans="1:16">
      <c r="A30" t="str">
        <f>LEFT(tabJoueur[[#This Row],[Prénom]],1)&amp;tabJoueur[[#This Row],[Nom]]</f>
        <v>ULEKERIKA</v>
      </c>
      <c r="B30" s="41" t="s">
        <v>272</v>
      </c>
      <c r="C30" t="s">
        <v>273</v>
      </c>
      <c r="E30" t="s">
        <v>14</v>
      </c>
      <c r="F30" t="s">
        <v>276</v>
      </c>
      <c r="G30" t="s">
        <v>277</v>
      </c>
      <c r="H30" s="3">
        <v>34681</v>
      </c>
      <c r="I30" s="14">
        <f ca="1">TODAY()-tabJoueur[[#This Row],[date de naissance]]</f>
        <v>10176</v>
      </c>
      <c r="J30" t="s">
        <v>57</v>
      </c>
      <c r="K30" s="35">
        <v>1.78</v>
      </c>
      <c r="L30">
        <v>90</v>
      </c>
      <c r="M30" t="s">
        <v>274</v>
      </c>
      <c r="O30">
        <f t="shared" si="1"/>
        <v>30</v>
      </c>
      <c r="P30" s="3">
        <f t="shared" ca="1" si="0"/>
        <v>44857</v>
      </c>
    </row>
    <row r="31" spans="1:16">
      <c r="A31" s="43" t="s">
        <v>303</v>
      </c>
      <c r="B31" s="28" t="s">
        <v>304</v>
      </c>
      <c r="C31" s="28" t="s">
        <v>305</v>
      </c>
      <c r="D31" s="44"/>
      <c r="E31" s="28" t="s">
        <v>13</v>
      </c>
      <c r="F31" s="28" t="str">
        <f>"\photos\" &amp; LEFT(tabJoueur[[#This Row],[Prénom]],1) &amp; tabJoueur[[#This Row],[Nom]] &amp; ".jpg"</f>
        <v>\photos\ELIBOIS.jpg</v>
      </c>
      <c r="G31" s="28" t="str">
        <f>"\photos\" &amp; LEFT(tabJoueur[[#This Row],[Prénom]],1) &amp; tabJoueur[[#This Row],[Nom]] &amp; "_mini.jpg"</f>
        <v>\photos\ELIBOIS_mini.jpg</v>
      </c>
      <c r="H31" s="45">
        <v>37860</v>
      </c>
      <c r="I31" s="14">
        <f ca="1">TODAY()-tabJoueur[[#This Row],[date de naissance]]</f>
        <v>6997</v>
      </c>
      <c r="J31" s="28" t="s">
        <v>306</v>
      </c>
      <c r="K31" s="28">
        <v>1.8</v>
      </c>
      <c r="L31" s="28">
        <v>70</v>
      </c>
      <c r="M31" s="28" t="s">
        <v>65</v>
      </c>
      <c r="N31" s="28"/>
      <c r="O31">
        <f t="shared" si="1"/>
        <v>31</v>
      </c>
      <c r="P31" s="45">
        <f t="shared" ca="1" si="0"/>
        <v>44857</v>
      </c>
    </row>
    <row r="32" spans="1:16">
      <c r="A32" s="41" t="str">
        <f>LEFT(tabJoueur[[#This Row],[Prénom]],1)&amp;tabJoueur[[#This Row],[Nom]]</f>
        <v>ILOPEZ</v>
      </c>
      <c r="B32" t="s">
        <v>292</v>
      </c>
      <c r="C32" t="s">
        <v>293</v>
      </c>
      <c r="E32" t="s">
        <v>14</v>
      </c>
      <c r="F32" t="str">
        <f>"\photos\" &amp; LEFT(tabJoueur[[#This Row],[Prénom]],1) &amp; tabJoueur[[#This Row],[Nom]] &amp; ".jpg"</f>
        <v>\photos\ILOPEZ.jpg</v>
      </c>
      <c r="G32" t="str">
        <f>"\photos\" &amp; LEFT(tabJoueur[[#This Row],[Prénom]],1) &amp; tabJoueur[[#This Row],[Nom]] &amp; "_mini.jpg"</f>
        <v>\photos\ILOPEZ_mini.jpg</v>
      </c>
      <c r="H32" s="3">
        <v>30776</v>
      </c>
      <c r="I32" s="14">
        <f ca="1">TODAY()-tabJoueur[[#This Row],[date de naissance]]</f>
        <v>14081</v>
      </c>
      <c r="J32" t="s">
        <v>57</v>
      </c>
      <c r="K32">
        <v>1.93</v>
      </c>
      <c r="L32">
        <v>99</v>
      </c>
      <c r="M32" t="s">
        <v>295</v>
      </c>
      <c r="O32">
        <f t="shared" si="1"/>
        <v>32</v>
      </c>
      <c r="P32" s="3">
        <f t="shared" ca="1" si="0"/>
        <v>44857</v>
      </c>
    </row>
    <row r="33" spans="1:16">
      <c r="A33" t="str">
        <f>LEFT(tabJoueur[[#This Row],[Prénom]],1)&amp;tabJoueur[[#This Row],[Nom]]</f>
        <v>DMARQUE PUCHEU</v>
      </c>
      <c r="B33" t="s">
        <v>236</v>
      </c>
      <c r="C33" t="s">
        <v>237</v>
      </c>
      <c r="D33" t="s">
        <v>74</v>
      </c>
      <c r="E33" t="s">
        <v>14</v>
      </c>
      <c r="F33" t="str">
        <f>"\photos\" &amp; LEFT(tabJoueur[[#This Row],[Prénom]],1) &amp; tabJoueur[[#This Row],[Nom]] &amp; ".jpg"</f>
        <v>\photos\DMARQUE PUCHEU.jpg</v>
      </c>
      <c r="G33" t="str">
        <f>"\photos\" &amp; LEFT(tabJoueur[[#This Row],[Prénom]],1) &amp; tabJoueur[[#This Row],[Nom]] &amp; "_mini.jpg"</f>
        <v>\photos\DMARQUE PUCHEU_mini.jpg</v>
      </c>
      <c r="H33" s="3">
        <v>34604</v>
      </c>
      <c r="I33" s="14">
        <f ca="1">TODAY()-tabJoueur[[#This Row],[date de naissance]]</f>
        <v>10253</v>
      </c>
      <c r="J33" t="s">
        <v>59</v>
      </c>
      <c r="K33">
        <v>1.83</v>
      </c>
      <c r="L33">
        <v>96</v>
      </c>
      <c r="M33" t="s">
        <v>66</v>
      </c>
      <c r="O33">
        <f t="shared" si="1"/>
        <v>33</v>
      </c>
      <c r="P33" s="3">
        <f t="shared" ca="1" si="0"/>
        <v>44857</v>
      </c>
    </row>
    <row r="34" spans="1:16">
      <c r="A34" t="str">
        <f>LEFT(tabJoueur[[#This Row],[Prénom]],1)&amp;tabJoueur[[#This Row],[Nom]]</f>
        <v>DMINVIELLE</v>
      </c>
      <c r="B34" t="s">
        <v>51</v>
      </c>
      <c r="C34" t="s">
        <v>52</v>
      </c>
      <c r="D34" t="s">
        <v>30</v>
      </c>
      <c r="E34" t="s">
        <v>14</v>
      </c>
      <c r="F34" t="str">
        <f>"\photos\" &amp; LEFT(tabJoueur[[#This Row],[Prénom]],1) &amp; tabJoueur[[#This Row],[Nom]] &amp; ".jpg"</f>
        <v>\photos\DMINVIELLE.jpg</v>
      </c>
      <c r="G34" t="str">
        <f>"\photos\" &amp; LEFT(tabJoueur[[#This Row],[Prénom]],1) &amp; tabJoueur[[#This Row],[Nom]] &amp; "_mini.jpg"</f>
        <v>\photos\DMINVIELLE_mini.jpg</v>
      </c>
      <c r="H34" s="3">
        <v>31079</v>
      </c>
      <c r="I34" s="14">
        <f ca="1">TODAY()-tabJoueur[[#This Row],[date de naissance]]</f>
        <v>13778</v>
      </c>
      <c r="J34" t="s">
        <v>59</v>
      </c>
      <c r="K34">
        <v>1.82</v>
      </c>
      <c r="L34">
        <v>85</v>
      </c>
      <c r="M34" t="s">
        <v>17</v>
      </c>
      <c r="N34" t="s">
        <v>20</v>
      </c>
      <c r="O34">
        <f t="shared" si="1"/>
        <v>34</v>
      </c>
      <c r="P34" s="3">
        <f t="shared" ref="P34:P50" ca="1" si="2">TODAY()</f>
        <v>44857</v>
      </c>
    </row>
    <row r="35" spans="1:16">
      <c r="A35" t="str">
        <f>LEFT(tabJoueur[[#This Row],[Prénom]],1)&amp;tabJoueur[[#This Row],[Nom]]</f>
        <v>PMONTAMAT</v>
      </c>
      <c r="B35" t="s">
        <v>265</v>
      </c>
      <c r="C35" t="s">
        <v>268</v>
      </c>
      <c r="D35" t="s">
        <v>261</v>
      </c>
      <c r="E35" t="s">
        <v>14</v>
      </c>
      <c r="F35" t="str">
        <f>"\photos\" &amp; LEFT(tabJoueur[[#This Row],[Prénom]],1) &amp; tabJoueur[[#This Row],[Nom]] &amp; ".jpg"</f>
        <v>\photos\PMONTAMAT.jpg</v>
      </c>
      <c r="G35" t="str">
        <f>"\photos\" &amp; LEFT(tabJoueur[[#This Row],[Prénom]],1) &amp; tabJoueur[[#This Row],[Nom]] &amp; "_mini.jpg"</f>
        <v>\photos\PMONTAMAT_mini.jpg</v>
      </c>
      <c r="H35" s="3">
        <v>35763</v>
      </c>
      <c r="I35" s="14">
        <f ca="1">TODAY()-tabJoueur[[#This Row],[date de naissance]]</f>
        <v>9094</v>
      </c>
      <c r="J35" t="s">
        <v>59</v>
      </c>
      <c r="K35" s="35"/>
      <c r="M35" t="s">
        <v>64</v>
      </c>
      <c r="O35">
        <f t="shared" si="1"/>
        <v>35</v>
      </c>
      <c r="P35" s="3">
        <f t="shared" ca="1" si="2"/>
        <v>44857</v>
      </c>
    </row>
    <row r="36" spans="1:16">
      <c r="A36" t="str">
        <f>LEFT(tabJoueur[[#This Row],[Prénom]],1)&amp;tabJoueur[[#This Row],[Nom]]</f>
        <v>COLHA</v>
      </c>
      <c r="B36" t="s">
        <v>36</v>
      </c>
      <c r="C36" t="s">
        <v>37</v>
      </c>
      <c r="D36" t="s">
        <v>30</v>
      </c>
      <c r="E36" t="s">
        <v>13</v>
      </c>
      <c r="F36" t="str">
        <f>"\photos\" &amp; LEFT(tabJoueur[[#This Row],[Prénom]],1) &amp; tabJoueur[[#This Row],[Nom]] &amp; ".jpg"</f>
        <v>\photos\COLHA.jpg</v>
      </c>
      <c r="G36" t="str">
        <f>"\photos\" &amp; LEFT(tabJoueur[[#This Row],[Prénom]],1) &amp; tabJoueur[[#This Row],[Nom]] &amp; "_mini.jpg"</f>
        <v>\photos\COLHA_mini.jpg</v>
      </c>
      <c r="H36" s="3">
        <v>29416</v>
      </c>
      <c r="I36" s="14">
        <f ca="1">TODAY()-tabJoueur[[#This Row],[date de naissance]]</f>
        <v>15441</v>
      </c>
      <c r="J36" t="s">
        <v>59</v>
      </c>
      <c r="K36">
        <v>1.82</v>
      </c>
      <c r="L36">
        <v>82</v>
      </c>
      <c r="M36" t="s">
        <v>62</v>
      </c>
      <c r="O36">
        <f t="shared" si="1"/>
        <v>36</v>
      </c>
      <c r="P36" s="3">
        <f t="shared" ca="1" si="2"/>
        <v>44857</v>
      </c>
    </row>
    <row r="37" spans="1:16">
      <c r="A37" t="str">
        <f>LEFT(tabJoueur[[#This Row],[Prénom]],1)&amp;tabJoueur[[#This Row],[Nom]]</f>
        <v>JOLHARAN</v>
      </c>
      <c r="B37" t="s">
        <v>38</v>
      </c>
      <c r="C37" t="s">
        <v>25</v>
      </c>
      <c r="D37" t="s">
        <v>30</v>
      </c>
      <c r="E37" t="s">
        <v>13</v>
      </c>
      <c r="F37" t="str">
        <f>"\photos\" &amp; LEFT(tabJoueur[[#This Row],[Prénom]],1) &amp; tabJoueur[[#This Row],[Nom]] &amp; ".jpg"</f>
        <v>\photos\JOLHARAN.jpg</v>
      </c>
      <c r="G37" t="str">
        <f>"\photos\" &amp; LEFT(tabJoueur[[#This Row],[Prénom]],1) &amp; tabJoueur[[#This Row],[Nom]] &amp; "_mini.jpg"</f>
        <v>\photos\JOLHARAN_mini.jpg</v>
      </c>
      <c r="H37" s="3">
        <v>32718</v>
      </c>
      <c r="I37" s="14">
        <f ca="1">TODAY()-tabJoueur[[#This Row],[date de naissance]]</f>
        <v>12139</v>
      </c>
      <c r="J37" t="s">
        <v>59</v>
      </c>
      <c r="K37">
        <v>1.74</v>
      </c>
      <c r="L37">
        <v>76</v>
      </c>
      <c r="M37" t="s">
        <v>63</v>
      </c>
      <c r="O37">
        <f t="shared" si="1"/>
        <v>37</v>
      </c>
      <c r="P37" s="3">
        <f t="shared" ca="1" si="2"/>
        <v>44857</v>
      </c>
    </row>
    <row r="38" spans="1:16">
      <c r="A38" s="41" t="str">
        <f>LEFT(tabJoueur[[#This Row],[Prénom]],1)&amp;tabJoueur[[#This Row],[Nom]]</f>
        <v>BOTHABURU</v>
      </c>
      <c r="B38" t="s">
        <v>307</v>
      </c>
      <c r="C38" t="s">
        <v>308</v>
      </c>
      <c r="E38" t="s">
        <v>14</v>
      </c>
      <c r="F38" t="s">
        <v>276</v>
      </c>
      <c r="G38" t="s">
        <v>277</v>
      </c>
      <c r="H38" s="3">
        <v>36557</v>
      </c>
      <c r="I38" s="14">
        <f ca="1">TODAY()-tabJoueur[[#This Row],[date de naissance]]</f>
        <v>8300</v>
      </c>
      <c r="J38" t="s">
        <v>59</v>
      </c>
      <c r="K38">
        <v>1.8</v>
      </c>
      <c r="L38">
        <v>66</v>
      </c>
      <c r="M38" t="s">
        <v>63</v>
      </c>
      <c r="O38">
        <f>ROW(O38)</f>
        <v>38</v>
      </c>
      <c r="P38" s="3">
        <f t="shared" ca="1" si="2"/>
        <v>44857</v>
      </c>
    </row>
    <row r="39" spans="1:16">
      <c r="A39" t="str">
        <f>LEFT(tabJoueur[[#This Row],[Prénom]],1)&amp;tabJoueur[[#This Row],[Nom]]</f>
        <v>GOYENART</v>
      </c>
      <c r="B39" t="s">
        <v>223</v>
      </c>
      <c r="C39" t="s">
        <v>224</v>
      </c>
      <c r="D39" t="s">
        <v>74</v>
      </c>
      <c r="E39" t="s">
        <v>14</v>
      </c>
      <c r="F39" t="str">
        <f>"\photos\" &amp; LEFT(tabJoueur[[#This Row],[Prénom]],1) &amp; tabJoueur[[#This Row],[Nom]] &amp; ".jpg"</f>
        <v>\photos\GOYENART.jpg</v>
      </c>
      <c r="G39" t="str">
        <f>"\photos\" &amp; LEFT(tabJoueur[[#This Row],[Prénom]],1) &amp; tabJoueur[[#This Row],[Nom]] &amp; "_mini.jpg"</f>
        <v>\photos\GOYENART_mini.jpg</v>
      </c>
      <c r="H39" s="3">
        <v>36173</v>
      </c>
      <c r="I39" s="14">
        <f ca="1">TODAY()-tabJoueur[[#This Row],[date de naissance]]</f>
        <v>8684</v>
      </c>
      <c r="J39" t="s">
        <v>59</v>
      </c>
      <c r="K39" s="35">
        <v>1.8</v>
      </c>
      <c r="L39">
        <v>80</v>
      </c>
      <c r="M39" t="s">
        <v>255</v>
      </c>
      <c r="O39">
        <f t="shared" si="1"/>
        <v>39</v>
      </c>
      <c r="P39" s="3">
        <f t="shared" ca="1" si="2"/>
        <v>44857</v>
      </c>
    </row>
    <row r="40" spans="1:16">
      <c r="A40" t="str">
        <f>LEFT(tabJoueur[[#This Row],[Prénom]],1)&amp;tabJoueur[[#This Row],[Nom]]</f>
        <v>HPIERROU</v>
      </c>
      <c r="B40" t="s">
        <v>264</v>
      </c>
      <c r="C40" t="s">
        <v>87</v>
      </c>
      <c r="D40" t="s">
        <v>261</v>
      </c>
      <c r="E40" t="s">
        <v>13</v>
      </c>
      <c r="F40" t="str">
        <f>"\photos\" &amp; LEFT(tabJoueur[[#This Row],[Prénom]],1) &amp; tabJoueur[[#This Row],[Nom]] &amp; ".jpg"</f>
        <v>\photos\HPIERROU.jpg</v>
      </c>
      <c r="G40" t="str">
        <f>"\photos\" &amp; LEFT(tabJoueur[[#This Row],[Prénom]],1) &amp; tabJoueur[[#This Row],[Nom]] &amp; "_mini.jpg"</f>
        <v>\photos\HPIERROU_mini.jpg</v>
      </c>
      <c r="H40" s="3">
        <v>37950</v>
      </c>
      <c r="I40" s="14">
        <f ca="1">TODAY()-tabJoueur[[#This Row],[date de naissance]]</f>
        <v>6907</v>
      </c>
      <c r="J40" t="s">
        <v>59</v>
      </c>
      <c r="K40">
        <v>1.8</v>
      </c>
      <c r="L40">
        <v>66</v>
      </c>
      <c r="M40" t="s">
        <v>63</v>
      </c>
      <c r="O40">
        <f t="shared" si="1"/>
        <v>40</v>
      </c>
      <c r="P40" s="3">
        <f t="shared" ca="1" si="2"/>
        <v>44857</v>
      </c>
    </row>
    <row r="41" spans="1:16" s="5" customFormat="1">
      <c r="A41" t="str">
        <f>LEFT(tabJoueur[[#This Row],[Prénom]],1)&amp;tabJoueur[[#This Row],[Nom]]</f>
        <v>JPORTET</v>
      </c>
      <c r="B41" t="s">
        <v>250</v>
      </c>
      <c r="C41" t="s">
        <v>251</v>
      </c>
      <c r="D41" t="s">
        <v>30</v>
      </c>
      <c r="E41" t="s">
        <v>14</v>
      </c>
      <c r="F41" t="str">
        <f>"\photos\" &amp; LEFT(tabJoueur[[#This Row],[Prénom]],1) &amp; tabJoueur[[#This Row],[Nom]] &amp; ".jpg"</f>
        <v>\photos\JPORTET.jpg</v>
      </c>
      <c r="G41" t="str">
        <f>"\photos\" &amp; LEFT(tabJoueur[[#This Row],[Prénom]],1) &amp; tabJoueur[[#This Row],[Nom]] &amp; "_mini.jpg"</f>
        <v>\photos\JPORTET_mini.jpg</v>
      </c>
      <c r="H41" s="3">
        <v>34948</v>
      </c>
      <c r="I41" s="14">
        <f ca="1">TODAY()-tabJoueur[[#This Row],[date de naissance]]</f>
        <v>9909</v>
      </c>
      <c r="J41" t="s">
        <v>59</v>
      </c>
      <c r="K41" s="35">
        <v>1.93</v>
      </c>
      <c r="L41">
        <v>94</v>
      </c>
      <c r="M41" t="s">
        <v>252</v>
      </c>
      <c r="N41"/>
      <c r="O41">
        <f t="shared" si="1"/>
        <v>41</v>
      </c>
      <c r="P41" s="3">
        <f t="shared" ca="1" si="2"/>
        <v>44857</v>
      </c>
    </row>
    <row r="42" spans="1:16">
      <c r="A42" t="str">
        <f>LEFT(tabJoueur[[#This Row],[Prénom]],1)&amp;tabJoueur[[#This Row],[Nom]]</f>
        <v>ZSALABERRY</v>
      </c>
      <c r="B42" t="s">
        <v>270</v>
      </c>
      <c r="C42" t="s">
        <v>271</v>
      </c>
      <c r="E42" t="s">
        <v>14</v>
      </c>
      <c r="F42" t="s">
        <v>276</v>
      </c>
      <c r="G42" t="s">
        <v>277</v>
      </c>
      <c r="H42" s="3">
        <v>35570</v>
      </c>
      <c r="I42" s="14">
        <f ca="1">TODAY()-tabJoueur[[#This Row],[date de naissance]]</f>
        <v>9287</v>
      </c>
      <c r="J42" t="s">
        <v>59</v>
      </c>
      <c r="K42" s="35">
        <v>1.81</v>
      </c>
      <c r="L42">
        <v>78</v>
      </c>
      <c r="M42" t="s">
        <v>64</v>
      </c>
      <c r="O42">
        <f t="shared" si="1"/>
        <v>42</v>
      </c>
      <c r="P42" s="3">
        <f t="shared" ca="1" si="2"/>
        <v>44857</v>
      </c>
    </row>
    <row r="43" spans="1:16">
      <c r="A43" t="str">
        <f>LEFT(tabJoueur[[#This Row],[Prénom]],1)&amp;tabJoueur[[#This Row],[Nom]]</f>
        <v>GSOROZABAL</v>
      </c>
      <c r="B43" t="s">
        <v>248</v>
      </c>
      <c r="C43" t="s">
        <v>249</v>
      </c>
      <c r="D43" t="s">
        <v>30</v>
      </c>
      <c r="E43" t="s">
        <v>14</v>
      </c>
      <c r="F43" t="str">
        <f>"\photos\" &amp; LEFT(tabJoueur[[#This Row],[Prénom]],1) &amp; tabJoueur[[#This Row],[Nom]] &amp; ".jpg"</f>
        <v>\photos\GSOROZABAL.jpg</v>
      </c>
      <c r="G43" t="str">
        <f>"\photos\" &amp; LEFT(tabJoueur[[#This Row],[Prénom]],1) &amp; tabJoueur[[#This Row],[Nom]] &amp; "_mini.jpg"</f>
        <v>\photos\GSOROZABAL_mini.jpg</v>
      </c>
      <c r="H43" s="3">
        <v>36954</v>
      </c>
      <c r="I43" s="14">
        <f ca="1">TODAY()-tabJoueur[[#This Row],[date de naissance]]</f>
        <v>7903</v>
      </c>
      <c r="J43" t="s">
        <v>59</v>
      </c>
      <c r="K43" s="35">
        <v>1.8</v>
      </c>
      <c r="L43">
        <v>76</v>
      </c>
      <c r="M43" t="s">
        <v>17</v>
      </c>
      <c r="N43" t="s">
        <v>20</v>
      </c>
      <c r="O43">
        <f t="shared" si="1"/>
        <v>43</v>
      </c>
      <c r="P43" s="3">
        <f t="shared" ca="1" si="2"/>
        <v>44857</v>
      </c>
    </row>
    <row r="44" spans="1:16">
      <c r="A44" t="str">
        <f>LEFT(tabJoueur[[#This Row],[Prénom]],1)&amp;tabJoueur[[#This Row],[Nom]]</f>
        <v>JSOROZABAL</v>
      </c>
      <c r="B44" t="s">
        <v>248</v>
      </c>
      <c r="C44" t="s">
        <v>253</v>
      </c>
      <c r="D44" t="s">
        <v>30</v>
      </c>
      <c r="E44" t="s">
        <v>13</v>
      </c>
      <c r="F44" t="str">
        <f>"\photos\" &amp; LEFT(tabJoueur[[#This Row],[Prénom]],1) &amp; tabJoueur[[#This Row],[Nom]] &amp; ".jpg"</f>
        <v>\photos\JSOROZABAL.jpg</v>
      </c>
      <c r="G44" t="str">
        <f>"\photos\" &amp; LEFT(tabJoueur[[#This Row],[Prénom]],1) &amp; tabJoueur[[#This Row],[Nom]] &amp; "_mini.jpg"</f>
        <v>\photos\JSOROZABAL_mini.jpg</v>
      </c>
      <c r="H44" s="3">
        <v>37369</v>
      </c>
      <c r="I44" s="14">
        <f ca="1">TODAY()-tabJoueur[[#This Row],[date de naissance]]</f>
        <v>7488</v>
      </c>
      <c r="J44" t="s">
        <v>59</v>
      </c>
      <c r="K44">
        <v>1.85</v>
      </c>
      <c r="L44">
        <v>77</v>
      </c>
      <c r="M44" t="s">
        <v>17</v>
      </c>
      <c r="N44" t="s">
        <v>20</v>
      </c>
      <c r="O44">
        <f t="shared" si="1"/>
        <v>44</v>
      </c>
      <c r="P44" s="3">
        <f t="shared" ca="1" si="2"/>
        <v>44857</v>
      </c>
    </row>
    <row r="45" spans="1:16">
      <c r="A45" t="str">
        <f>LEFT(tabJoueur[[#This Row],[Prénom]],1)&amp;tabJoueur[[#This Row],[Nom]]</f>
        <v>JTAMBOURINDEGUY</v>
      </c>
      <c r="B45" t="s">
        <v>39</v>
      </c>
      <c r="C45" t="s">
        <v>40</v>
      </c>
      <c r="D45" t="s">
        <v>30</v>
      </c>
      <c r="E45" t="s">
        <v>13</v>
      </c>
      <c r="F45" t="str">
        <f>"\photos\" &amp; LEFT(tabJoueur[[#This Row],[Prénom]],1) &amp; tabJoueur[[#This Row],[Nom]] &amp; ".jpg"</f>
        <v>\photos\JTAMBOURINDEGUY.jpg</v>
      </c>
      <c r="G45" t="str">
        <f>"\photos\" &amp; LEFT(tabJoueur[[#This Row],[Prénom]],1) &amp; tabJoueur[[#This Row],[Nom]] &amp; "_mini.jpg"</f>
        <v>\photos\JTAMBOURINDEGUY_mini.jpg</v>
      </c>
      <c r="H45" s="3">
        <v>31623</v>
      </c>
      <c r="I45" s="14">
        <f ca="1">TODAY()-tabJoueur[[#This Row],[date de naissance]]</f>
        <v>13234</v>
      </c>
      <c r="J45" t="s">
        <v>59</v>
      </c>
      <c r="K45">
        <v>1.74</v>
      </c>
      <c r="L45">
        <v>71</v>
      </c>
      <c r="M45" t="s">
        <v>64</v>
      </c>
      <c r="O45">
        <f t="shared" si="1"/>
        <v>45</v>
      </c>
      <c r="P45" s="3">
        <f t="shared" ca="1" si="2"/>
        <v>44857</v>
      </c>
    </row>
    <row r="46" spans="1:16">
      <c r="A46" t="str">
        <f>LEFT(tabJoueur[[#This Row],[Prénom]],1)&amp;tabJoueur[[#This Row],[Nom]]</f>
        <v>PTAMBOURINDEGUY</v>
      </c>
      <c r="B46" t="s">
        <v>39</v>
      </c>
      <c r="C46" t="s">
        <v>41</v>
      </c>
      <c r="D46" t="s">
        <v>30</v>
      </c>
      <c r="E46" t="s">
        <v>13</v>
      </c>
      <c r="F46" t="str">
        <f>"\photos\" &amp; LEFT(tabJoueur[[#This Row],[Prénom]],1) &amp; tabJoueur[[#This Row],[Nom]] &amp; ".jpg"</f>
        <v>\photos\PTAMBOURINDEGUY.jpg</v>
      </c>
      <c r="G46" t="str">
        <f>"\photos\" &amp; LEFT(tabJoueur[[#This Row],[Prénom]],1) &amp; tabJoueur[[#This Row],[Nom]] &amp; "_mini.jpg"</f>
        <v>\photos\PTAMBOURINDEGUY_mini.jpg</v>
      </c>
      <c r="H46" s="3">
        <v>30035</v>
      </c>
      <c r="I46" s="14">
        <f ca="1">TODAY()-tabJoueur[[#This Row],[date de naissance]]</f>
        <v>14822</v>
      </c>
      <c r="J46" t="s">
        <v>59</v>
      </c>
      <c r="K46">
        <v>1.74</v>
      </c>
      <c r="L46">
        <v>74</v>
      </c>
      <c r="M46" t="s">
        <v>64</v>
      </c>
      <c r="O46">
        <f t="shared" si="1"/>
        <v>46</v>
      </c>
      <c r="P46" s="3">
        <f t="shared" ca="1" si="2"/>
        <v>44857</v>
      </c>
    </row>
    <row r="47" spans="1:16">
      <c r="A47" t="str">
        <f>LEFT(tabJoueur[[#This Row],[Prénom]],1)&amp;tabJoueur[[#This Row],[Nom]]</f>
        <v>NTOUCOULLET</v>
      </c>
      <c r="B47" t="s">
        <v>235</v>
      </c>
      <c r="C47" t="s">
        <v>26</v>
      </c>
      <c r="D47" t="s">
        <v>74</v>
      </c>
      <c r="E47" t="s">
        <v>14</v>
      </c>
      <c r="F47" t="str">
        <f>"\photos\" &amp; LEFT(tabJoueur[[#This Row],[Prénom]],1) &amp; tabJoueur[[#This Row],[Nom]] &amp; ".jpg"</f>
        <v>\photos\NTOUCOULLET.jpg</v>
      </c>
      <c r="G47" t="str">
        <f>"\photos\" &amp; LEFT(tabJoueur[[#This Row],[Prénom]],1) &amp; tabJoueur[[#This Row],[Nom]] &amp; "_mini.jpg"</f>
        <v>\photos\NTOUCOULLET_mini.jpg</v>
      </c>
      <c r="H47" s="3">
        <v>33609</v>
      </c>
      <c r="I47" s="14">
        <f ca="1">TODAY()-tabJoueur[[#This Row],[date de naissance]]</f>
        <v>11248</v>
      </c>
      <c r="J47" t="s">
        <v>59</v>
      </c>
      <c r="K47">
        <v>1.74</v>
      </c>
      <c r="L47">
        <v>70</v>
      </c>
      <c r="M47" t="s">
        <v>17</v>
      </c>
      <c r="N47" t="s">
        <v>20</v>
      </c>
      <c r="O47">
        <f t="shared" si="1"/>
        <v>47</v>
      </c>
      <c r="P47" s="3">
        <f t="shared" ca="1" si="2"/>
        <v>44857</v>
      </c>
    </row>
    <row r="48" spans="1:16">
      <c r="A48" t="str">
        <f>LEFT(tabJoueur[[#This Row],[Prénom]],1)&amp;tabJoueur[[#This Row],[Nom]]</f>
        <v>TURRUTIA</v>
      </c>
      <c r="B48" t="s">
        <v>233</v>
      </c>
      <c r="C48" t="s">
        <v>234</v>
      </c>
      <c r="D48" t="s">
        <v>74</v>
      </c>
      <c r="E48" t="s">
        <v>13</v>
      </c>
      <c r="F48" t="str">
        <f>"\photos\" &amp; LEFT(tabJoueur[[#This Row],[Prénom]],1) &amp; tabJoueur[[#This Row],[Nom]] &amp; ".jpg"</f>
        <v>\photos\TURRUTIA.jpg</v>
      </c>
      <c r="G48" t="str">
        <f>"\photos\" &amp; LEFT(tabJoueur[[#This Row],[Prénom]],1) &amp; tabJoueur[[#This Row],[Nom]] &amp; "_mini.jpg"</f>
        <v>\photos\TURRUTIA_mini.jpg</v>
      </c>
      <c r="H48" s="3">
        <v>37014</v>
      </c>
      <c r="I48" s="14">
        <f ca="1">TODAY()-tabJoueur[[#This Row],[date de naissance]]</f>
        <v>7843</v>
      </c>
      <c r="J48" t="s">
        <v>59</v>
      </c>
      <c r="K48">
        <v>1.71</v>
      </c>
      <c r="L48">
        <v>65</v>
      </c>
      <c r="M48" t="s">
        <v>62</v>
      </c>
      <c r="O48">
        <f t="shared" si="1"/>
        <v>48</v>
      </c>
      <c r="P48" s="3">
        <f t="shared" ca="1" si="2"/>
        <v>44857</v>
      </c>
    </row>
    <row r="49" spans="1:16">
      <c r="A49" t="str">
        <f>LEFT(tabJoueur[[#This Row],[Prénom]],1)&amp;tabJoueur[[#This Row],[Nom]]</f>
        <v>MURTASUN</v>
      </c>
      <c r="B49" t="s">
        <v>53</v>
      </c>
      <c r="C49" t="s">
        <v>54</v>
      </c>
      <c r="D49" t="s">
        <v>30</v>
      </c>
      <c r="E49" t="s">
        <v>14</v>
      </c>
      <c r="F49" t="str">
        <f>"\photos\" &amp; LEFT(tabJoueur[[#This Row],[Prénom]],1) &amp; tabJoueur[[#This Row],[Nom]] &amp; ".jpg"</f>
        <v>\photos\MURTASUN.jpg</v>
      </c>
      <c r="G49" t="str">
        <f>"\photos\" &amp; LEFT(tabJoueur[[#This Row],[Prénom]],1) &amp; tabJoueur[[#This Row],[Nom]] &amp; "_mini.jpg"</f>
        <v>\photos\MURTASUN_mini.jpg</v>
      </c>
      <c r="H49" s="3">
        <v>30509</v>
      </c>
      <c r="I49" s="14">
        <f ca="1">TODAY()-tabJoueur[[#This Row],[date de naissance]]</f>
        <v>14348</v>
      </c>
      <c r="J49" t="s">
        <v>57</v>
      </c>
      <c r="K49">
        <v>1.85</v>
      </c>
      <c r="L49">
        <v>80</v>
      </c>
      <c r="M49" t="s">
        <v>64</v>
      </c>
      <c r="O49">
        <f t="shared" si="1"/>
        <v>49</v>
      </c>
      <c r="P49" s="3">
        <f t="shared" ca="1" si="2"/>
        <v>44857</v>
      </c>
    </row>
    <row r="50" spans="1:16">
      <c r="A50" t="str">
        <f>LEFT(tabJoueur[[#This Row],[Prénom]],1)&amp;tabJoueur[[#This Row],[Nom]]</f>
        <v>AZABALETA</v>
      </c>
      <c r="B50" t="s">
        <v>243</v>
      </c>
      <c r="C50" t="s">
        <v>244</v>
      </c>
      <c r="D50" t="s">
        <v>74</v>
      </c>
      <c r="E50" t="s">
        <v>14</v>
      </c>
      <c r="F50" t="str">
        <f>"\photos\" &amp; LEFT(tabJoueur[[#This Row],[Prénom]],1) &amp; tabJoueur[[#This Row],[Nom]] &amp; ".jpg"</f>
        <v>\photos\AZABALETA.jpg</v>
      </c>
      <c r="G50" t="str">
        <f>"\photos\" &amp; LEFT(tabJoueur[[#This Row],[Prénom]],1) &amp; tabJoueur[[#This Row],[Nom]] &amp; "_mini.jpg"</f>
        <v>\photos\AZABALETA_mini.jpg</v>
      </c>
      <c r="H50" s="3">
        <v>31979</v>
      </c>
      <c r="I50" s="14">
        <f ca="1">TODAY()-tabJoueur[[#This Row],[date de naissance]]</f>
        <v>12878</v>
      </c>
      <c r="J50" t="s">
        <v>59</v>
      </c>
      <c r="K50">
        <v>1.82</v>
      </c>
      <c r="L50">
        <v>75</v>
      </c>
      <c r="M50" t="s">
        <v>65</v>
      </c>
      <c r="O50">
        <f t="shared" si="1"/>
        <v>50</v>
      </c>
      <c r="P50" s="3">
        <f t="shared" ca="1" si="2"/>
        <v>44857</v>
      </c>
    </row>
    <row r="51" spans="1:16">
      <c r="A51" s="43" t="str">
        <f>LEFT(tabJoueur[[#This Row],[Prénom]],1)&amp;tabJoueur[[#This Row],[Nom]]</f>
        <v>YMILLAT</v>
      </c>
      <c r="B51" s="28" t="s">
        <v>320</v>
      </c>
      <c r="C51" s="28" t="s">
        <v>321</v>
      </c>
      <c r="D51" s="44" t="s">
        <v>74</v>
      </c>
      <c r="E51" s="28" t="s">
        <v>14</v>
      </c>
      <c r="F51" s="28" t="str">
        <f>"\photos\" &amp; LEFT(tabJoueur[[#This Row],[Prénom]],1) &amp; tabJoueur[[#This Row],[Nom]] &amp; ".jpg"</f>
        <v>\photos\YMILLAT.jpg</v>
      </c>
      <c r="G51" s="28" t="str">
        <f>"\photos\" &amp; LEFT(tabJoueur[[#This Row],[Prénom]],1) &amp; tabJoueur[[#This Row],[Nom]] &amp; "_mini.jpg"</f>
        <v>\photos\YMILLAT_mini.jpg</v>
      </c>
      <c r="H51" s="45">
        <v>34056</v>
      </c>
      <c r="I51" s="14">
        <f ca="1">TODAY()-tabJoueur[[#This Row],[date de naissance]]</f>
        <v>10801</v>
      </c>
      <c r="J51" s="28" t="s">
        <v>59</v>
      </c>
      <c r="K51" s="28">
        <v>1.85</v>
      </c>
      <c r="L51" s="28">
        <v>85</v>
      </c>
      <c r="M51" s="28" t="s">
        <v>66</v>
      </c>
      <c r="N51" s="28"/>
      <c r="O51" s="28">
        <f>ROW(O51)</f>
        <v>51</v>
      </c>
      <c r="P51" s="45">
        <f ca="1">TODAY()</f>
        <v>44857</v>
      </c>
    </row>
    <row r="52" spans="1:16">
      <c r="D52" s="2"/>
    </row>
    <row r="53" spans="1:16">
      <c r="D53" s="2"/>
    </row>
    <row r="54" spans="1:16">
      <c r="D54" s="2"/>
    </row>
    <row r="55" spans="1:16">
      <c r="D55" s="2"/>
    </row>
    <row r="56" spans="1:16">
      <c r="D56" s="2"/>
    </row>
    <row r="57" spans="1:16">
      <c r="D57" s="2"/>
    </row>
    <row r="58" spans="1:16">
      <c r="D58" s="2"/>
    </row>
    <row r="59" spans="1:16">
      <c r="D59" s="2"/>
    </row>
    <row r="60" spans="1:16">
      <c r="D60" s="2"/>
    </row>
    <row r="61" spans="1:16">
      <c r="D61" s="2"/>
    </row>
    <row r="62" spans="1:16">
      <c r="D62" s="2"/>
    </row>
    <row r="63" spans="1:16">
      <c r="D63" s="2"/>
    </row>
    <row r="64" spans="1:16">
      <c r="D64" s="2"/>
    </row>
    <row r="65" spans="1:12">
      <c r="D65" s="2"/>
    </row>
    <row r="66" spans="1:12">
      <c r="D66" s="2"/>
    </row>
    <row r="67" spans="1:12">
      <c r="D67" s="2"/>
    </row>
    <row r="68" spans="1:12">
      <c r="D68" s="2"/>
    </row>
    <row r="69" spans="1:12">
      <c r="D69" s="2"/>
    </row>
    <row r="70" spans="1:12">
      <c r="A70" t="s">
        <v>79</v>
      </c>
      <c r="B70" t="s">
        <v>68</v>
      </c>
      <c r="C70" t="s">
        <v>69</v>
      </c>
      <c r="D70" t="s">
        <v>67</v>
      </c>
      <c r="E70" t="s">
        <v>70</v>
      </c>
      <c r="F70" t="s">
        <v>71</v>
      </c>
      <c r="G70" s="2" t="s">
        <v>72</v>
      </c>
      <c r="H70" s="3" t="s">
        <v>73</v>
      </c>
      <c r="I70" s="2" t="s">
        <v>80</v>
      </c>
      <c r="J70" s="2" t="s">
        <v>81</v>
      </c>
      <c r="K70" s="2" t="s">
        <v>82</v>
      </c>
      <c r="L70" s="2" t="s">
        <v>83</v>
      </c>
    </row>
    <row r="71" spans="1:12">
      <c r="A71" s="3" t="str">
        <f>Tableau1[[#This Row],[date]]&amp;"-"&amp;Tableau1[[#This Row],[Elite]]&amp;"-"&amp;Tableau1[[#This Row],[Partie]]</f>
        <v>jeudi 28 octobre 2021-Elite B-1/2 Finale</v>
      </c>
      <c r="B71" s="46" t="s">
        <v>314</v>
      </c>
      <c r="C71" t="s">
        <v>310</v>
      </c>
      <c r="D71" t="s">
        <v>311</v>
      </c>
      <c r="E71" s="41" t="s">
        <v>319</v>
      </c>
      <c r="F71" s="2" t="s">
        <v>312</v>
      </c>
      <c r="G71" s="2" t="s">
        <v>262</v>
      </c>
      <c r="H71" s="36" t="s">
        <v>309</v>
      </c>
      <c r="I71" s="42">
        <f>VLOOKUP(Tableau1[[#This Row],[E1-J1]],tabJoueur[],15,FALSE)</f>
        <v>33</v>
      </c>
      <c r="J71" s="41">
        <f>VLOOKUP(Tableau1[[#This Row],[E1-J2]],tabJoueur[],15,FALSE)</f>
        <v>51</v>
      </c>
      <c r="K71" s="41">
        <f>VLOOKUP(Tableau1[[#This Row],[E2-J1]],tabJoueur[],15,FALSE)</f>
        <v>40</v>
      </c>
      <c r="L71" s="41">
        <f>VLOOKUP(Tableau1[[#This Row],[E2-J2]],tabJoueur[],15,FALSE)</f>
        <v>41</v>
      </c>
    </row>
    <row r="72" spans="1:12">
      <c r="A72" s="3" t="str">
        <f>Tableau1[[#This Row],[date]]&amp;"-"&amp;Tableau1[[#This Row],[Elite]]&amp;"-"&amp;Tableau1[[#This Row],[Partie]]</f>
        <v>jeudi 28 octobre 2021-Elite A-1/2 Finale</v>
      </c>
      <c r="B72" s="46" t="s">
        <v>314</v>
      </c>
      <c r="C72" t="s">
        <v>313</v>
      </c>
      <c r="D72" t="s">
        <v>311</v>
      </c>
      <c r="E72" s="41" t="s">
        <v>282</v>
      </c>
      <c r="F72" s="2" t="s">
        <v>302</v>
      </c>
      <c r="G72" s="2" t="s">
        <v>278</v>
      </c>
      <c r="H72" s="36" t="s">
        <v>279</v>
      </c>
      <c r="I72" s="42">
        <f>VLOOKUP(Tableau1[[#This Row],[E1-J1]],tabJoueur[],15,FALSE)</f>
        <v>37</v>
      </c>
      <c r="J72" s="41">
        <f>VLOOKUP(Tableau1[[#This Row],[E1-J2]],tabJoueur[],15,FALSE)</f>
        <v>5</v>
      </c>
      <c r="K72" s="41">
        <f>VLOOKUP(Tableau1[[#This Row],[E2-J1]],tabJoueur[],15,FALSE)</f>
        <v>24</v>
      </c>
      <c r="L72" s="41">
        <f>VLOOKUP(Tableau1[[#This Row],[E2-J2]],tabJoueur[],15,FALSE)</f>
        <v>34</v>
      </c>
    </row>
    <row r="73" spans="1:12">
      <c r="A73" s="3" t="str">
        <f>Tableau1[[#This Row],[date]]&amp;"-"&amp;Tableau1[[#This Row],[Elite]]&amp;"-"&amp;Tableau1[[#This Row],[Partie]]</f>
        <v>lundi 1er novembre 2021-Elite B-1/2 Finale</v>
      </c>
      <c r="B73" t="s">
        <v>316</v>
      </c>
      <c r="C73" t="s">
        <v>310</v>
      </c>
      <c r="D73" t="s">
        <v>311</v>
      </c>
      <c r="E73" s="41" t="s">
        <v>318</v>
      </c>
      <c r="F73" s="2" t="s">
        <v>288</v>
      </c>
      <c r="G73" s="2" t="s">
        <v>296</v>
      </c>
      <c r="H73" s="36" t="s">
        <v>269</v>
      </c>
      <c r="I73" s="42">
        <f>VLOOKUP(Tableau1[[#This Row],[E1-J1]],tabJoueur[],15,FALSE)</f>
        <v>29</v>
      </c>
      <c r="J73" s="41">
        <f>VLOOKUP(Tableau1[[#This Row],[E1-J2]],tabJoueur[],15,FALSE)</f>
        <v>25</v>
      </c>
      <c r="K73" s="41">
        <f>VLOOKUP(Tableau1[[#This Row],[E2-J1]],tabJoueur[],15,FALSE)</f>
        <v>6</v>
      </c>
      <c r="L73" s="41">
        <f>VLOOKUP(Tableau1[[#This Row],[E2-J2]],tabJoueur[],15,FALSE)</f>
        <v>42</v>
      </c>
    </row>
    <row r="74" spans="1:12">
      <c r="A74" s="3" t="str">
        <f>Tableau1[[#This Row],[date]]&amp;"-"&amp;Tableau1[[#This Row],[Elite]]&amp;"-"&amp;Tableau1[[#This Row],[Partie]]</f>
        <v>lundi 1er novembre 2021-Elite A-1/2 Finale</v>
      </c>
      <c r="B74" t="s">
        <v>316</v>
      </c>
      <c r="C74" t="s">
        <v>313</v>
      </c>
      <c r="D74" t="s">
        <v>311</v>
      </c>
      <c r="E74" s="41" t="s">
        <v>247</v>
      </c>
      <c r="F74" s="2" t="s">
        <v>254</v>
      </c>
      <c r="G74" s="2" t="s">
        <v>289</v>
      </c>
      <c r="H74" s="36" t="s">
        <v>232</v>
      </c>
      <c r="I74" s="42">
        <f>VLOOKUP(Tableau1[[#This Row],[E1-J1]],tabJoueur[],15,FALSE)</f>
        <v>28</v>
      </c>
      <c r="J74" s="41">
        <f>VLOOKUP(Tableau1[[#This Row],[E1-J2]],tabJoueur[],15,FALSE)</f>
        <v>27</v>
      </c>
      <c r="K74" s="41">
        <f>VLOOKUP(Tableau1[[#This Row],[E2-J1]],tabJoueur[],15,FALSE)</f>
        <v>46</v>
      </c>
      <c r="L74" s="41">
        <f>VLOOKUP(Tableau1[[#This Row],[E2-J2]],tabJoueur[],15,FALSE)</f>
        <v>49</v>
      </c>
    </row>
    <row r="75" spans="1:12">
      <c r="A75" s="3" t="str">
        <f>Tableau1[[#This Row],[date]]&amp;"-"&amp;Tableau1[[#This Row],[Elite]]&amp;"-"&amp;Tableau1[[#This Row],[Partie]]</f>
        <v>Jeudi 4 novembre 2021-Elite B-Finale</v>
      </c>
      <c r="B75" t="s">
        <v>317</v>
      </c>
      <c r="C75" t="s">
        <v>310</v>
      </c>
      <c r="D75" t="s">
        <v>315</v>
      </c>
      <c r="E75" s="41"/>
      <c r="F75" s="2"/>
      <c r="G75" s="2"/>
      <c r="H75" s="36"/>
      <c r="I75" s="42" t="e">
        <f>VLOOKUP(Tableau1[[#This Row],[E1-J1]],tabJoueur[],15,FALSE)</f>
        <v>#N/A</v>
      </c>
      <c r="J75" s="41" t="e">
        <f>VLOOKUP(Tableau1[[#This Row],[E1-J2]],tabJoueur[],15,FALSE)</f>
        <v>#N/A</v>
      </c>
      <c r="K75" s="41" t="e">
        <f>VLOOKUP(Tableau1[[#This Row],[E2-J1]],tabJoueur[],15,FALSE)</f>
        <v>#N/A</v>
      </c>
      <c r="L75" s="41" t="e">
        <f>VLOOKUP(Tableau1[[#This Row],[E2-J2]],tabJoueur[],15,FALSE)</f>
        <v>#N/A</v>
      </c>
    </row>
    <row r="76" spans="1:12">
      <c r="A76" s="3" t="str">
        <f>Tableau1[[#This Row],[date]]&amp;"-"&amp;Tableau1[[#This Row],[Elite]]&amp;"-"&amp;Tableau1[[#This Row],[Partie]]</f>
        <v>Jeudi 4 novembre 2021-Elite A-Finale</v>
      </c>
      <c r="B76" t="s">
        <v>317</v>
      </c>
      <c r="C76" t="s">
        <v>313</v>
      </c>
      <c r="D76" t="s">
        <v>315</v>
      </c>
      <c r="E76" s="41"/>
      <c r="F76" s="2"/>
      <c r="G76" s="2"/>
      <c r="H76" s="36"/>
      <c r="I76" s="42" t="e">
        <f>VLOOKUP(Tableau1[[#This Row],[E1-J1]],tabJoueur[],15,FALSE)</f>
        <v>#N/A</v>
      </c>
      <c r="J76" s="41" t="e">
        <f>VLOOKUP(Tableau1[[#This Row],[E1-J2]],tabJoueur[],15,FALSE)</f>
        <v>#N/A</v>
      </c>
      <c r="K76" s="41" t="e">
        <f>VLOOKUP(Tableau1[[#This Row],[E2-J1]],tabJoueur[],15,FALSE)</f>
        <v>#N/A</v>
      </c>
      <c r="L76" s="41" t="e">
        <f>VLOOKUP(Tableau1[[#This Row],[E2-J2]],tabJoueur[],15,FALSE)</f>
        <v>#N/A</v>
      </c>
    </row>
  </sheetData>
  <phoneticPr fontId="3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Sources"/>
  <dimension ref="A1:K30"/>
  <sheetViews>
    <sheetView workbookViewId="0">
      <selection activeCell="C14" sqref="C14"/>
    </sheetView>
  </sheetViews>
  <sheetFormatPr baseColWidth="10" defaultRowHeight="15"/>
  <cols>
    <col min="1" max="1" width="31.5703125" bestFit="1" customWidth="1"/>
    <col min="2" max="2" width="23.140625" bestFit="1" customWidth="1"/>
    <col min="3" max="3" width="29" customWidth="1"/>
    <col min="4" max="4" width="12.5703125" style="15" bestFit="1" customWidth="1"/>
    <col min="7" max="8" width="10.7109375" bestFit="1" customWidth="1"/>
    <col min="9" max="10" width="21" bestFit="1" customWidth="1"/>
  </cols>
  <sheetData>
    <row r="1" spans="1:11">
      <c r="A1" t="s">
        <v>67</v>
      </c>
      <c r="B1" t="s">
        <v>322</v>
      </c>
      <c r="C1" t="s">
        <v>324</v>
      </c>
      <c r="D1" s="15" t="s">
        <v>351</v>
      </c>
      <c r="E1" t="s">
        <v>258</v>
      </c>
      <c r="F1" t="s">
        <v>259</v>
      </c>
      <c r="G1" t="s">
        <v>357</v>
      </c>
      <c r="H1" t="s">
        <v>358</v>
      </c>
      <c r="I1" t="s">
        <v>359</v>
      </c>
      <c r="J1" t="s">
        <v>360</v>
      </c>
      <c r="K1" t="s">
        <v>372</v>
      </c>
    </row>
    <row r="2" spans="1:11">
      <c r="A2" s="41" t="str">
        <f t="shared" ref="A2:A30" si="0">CONCATENATE(B2,"-",C2,"-",D2)</f>
        <v>Dimanche 23 octobre 2022-Cesta Punta Féminine-1</v>
      </c>
      <c r="B2" t="s">
        <v>323</v>
      </c>
      <c r="C2" t="s">
        <v>373</v>
      </c>
      <c r="D2" s="15">
        <v>1</v>
      </c>
      <c r="E2" t="s">
        <v>331</v>
      </c>
      <c r="F2" t="s">
        <v>332</v>
      </c>
      <c r="G2" s="41" t="str">
        <f>VLOOKUP(CONCATENATE(TabMondiaux[[#This Row],[Catégorie2]],TabMondiaux[[#This Row],[Equipe 1]]),TabEquipes[#All],4,FALSE)</f>
        <v>ESPAGNE</v>
      </c>
      <c r="H2" s="41" t="str">
        <f>VLOOKUP(CONCATENATE(TabMondiaux[[#This Row],[Catégorie2]],TabMondiaux[[#This Row],[Equipe 2]]),TabEquipes[#All],4,FALSE)</f>
        <v>FRANCE</v>
      </c>
      <c r="I2" s="41" t="str">
        <f>VLOOKUP(CONCATENATE(TabMondiaux[[#This Row],[Catégorie2]],TabMondiaux[[#This Row],[Equipe 1]]),TabEquipes[#All],5,FALSE)</f>
        <v>\photos\ESPAGNE.jpg</v>
      </c>
      <c r="J2" s="41" t="str">
        <f>VLOOKUP(CONCATENATE(TabMondiaux[[#This Row],[Catégorie2]],TabMondiaux[[#This Row],[Equipe 2]]),TabEquipes[#All],5,FALSE)</f>
        <v>\photos\FRANCE.jpg</v>
      </c>
      <c r="K2" s="41" t="s">
        <v>326</v>
      </c>
    </row>
    <row r="3" spans="1:11">
      <c r="A3" s="41" t="str">
        <f t="shared" si="0"/>
        <v>Dimanche 23 octobre 2022-Cesta Punta Masculine-2</v>
      </c>
      <c r="B3" t="s">
        <v>323</v>
      </c>
      <c r="C3" t="s">
        <v>374</v>
      </c>
      <c r="D3" s="15">
        <v>2</v>
      </c>
      <c r="E3" t="s">
        <v>332</v>
      </c>
      <c r="F3" t="s">
        <v>331</v>
      </c>
      <c r="G3" s="41" t="str">
        <f>VLOOKUP(CONCATENATE(TabMondiaux[[#This Row],[Catégorie2]],TabMondiaux[[#This Row],[Equipe 1]]),TabEquipes[#All],4,FALSE)</f>
        <v>FRANCE</v>
      </c>
      <c r="H3" s="41" t="str">
        <f>VLOOKUP(CONCATENATE(TabMondiaux[[#This Row],[Catégorie2]],TabMondiaux[[#This Row],[Equipe 2]]),TabEquipes[#All],4,FALSE)</f>
        <v>ESPAGNE</v>
      </c>
      <c r="I3" s="41" t="str">
        <f>VLOOKUP(CONCATENATE(TabMondiaux[[#This Row],[Catégorie2]],TabMondiaux[[#This Row],[Equipe 1]]),TabEquipes[#All],5,FALSE)</f>
        <v>\photos\FRANCE.jpg</v>
      </c>
      <c r="J3" s="41" t="str">
        <f>VLOOKUP(CONCATENATE(TabMondiaux[[#This Row],[Catégorie2]],TabMondiaux[[#This Row],[Equipe 2]]),TabEquipes[#All],5,FALSE)</f>
        <v>\photos\ESPAGNE.jpg</v>
      </c>
      <c r="K3" s="41" t="s">
        <v>325</v>
      </c>
    </row>
    <row r="4" spans="1:11">
      <c r="A4" s="41" t="str">
        <f t="shared" si="0"/>
        <v>Lundi 24 octobre 2022-Cesta Punta Masculine-1</v>
      </c>
      <c r="B4" t="s">
        <v>327</v>
      </c>
      <c r="C4" t="s">
        <v>374</v>
      </c>
      <c r="D4" s="15">
        <v>1</v>
      </c>
      <c r="E4" t="s">
        <v>333</v>
      </c>
      <c r="F4" t="s">
        <v>328</v>
      </c>
      <c r="G4" s="41" t="str">
        <f>VLOOKUP(CONCATENATE(TabMondiaux[[#This Row],[Catégorie2]],TabMondiaux[[#This Row],[Equipe 1]]),TabEquipes[#All],4,FALSE)</f>
        <v>ESPAGNE</v>
      </c>
      <c r="H4" s="41" t="str">
        <f>VLOOKUP(CONCATENATE(TabMondiaux[[#This Row],[Catégorie2]],TabMondiaux[[#This Row],[Equipe 2]]),TabEquipes[#All],4,FALSE)</f>
        <v>ETATS-UNIS</v>
      </c>
      <c r="I4" s="41" t="str">
        <f>VLOOKUP(CONCATENATE(TabMondiaux[[#This Row],[Catégorie2]],TabMondiaux[[#This Row],[Equipe 1]]),TabEquipes[#All],5,FALSE)</f>
        <v>\photos\ESPAGNE.jpg</v>
      </c>
      <c r="J4" s="41" t="str">
        <f>VLOOKUP(CONCATENATE(TabMondiaux[[#This Row],[Catégorie2]],TabMondiaux[[#This Row],[Equipe 2]]),TabEquipes[#All],5,FALSE)</f>
        <v>\photos\ETATS-UNIS.jpg</v>
      </c>
      <c r="K4" s="41" t="s">
        <v>325</v>
      </c>
    </row>
    <row r="5" spans="1:11">
      <c r="A5" s="41" t="str">
        <f t="shared" si="0"/>
        <v>Lundi 24 octobre 2022-Cesta Punta Masculine-2</v>
      </c>
      <c r="B5" t="s">
        <v>327</v>
      </c>
      <c r="C5" t="s">
        <v>374</v>
      </c>
      <c r="D5" s="15">
        <v>2</v>
      </c>
      <c r="E5" t="s">
        <v>332</v>
      </c>
      <c r="F5" t="s">
        <v>329</v>
      </c>
      <c r="G5" s="41" t="str">
        <f>VLOOKUP(CONCATENATE(TabMondiaux[[#This Row],[Catégorie2]],TabMondiaux[[#This Row],[Equipe 1]]),TabEquipes[#All],4,FALSE)</f>
        <v>FRANCE</v>
      </c>
      <c r="H5" s="41" t="str">
        <f>VLOOKUP(CONCATENATE(TabMondiaux[[#This Row],[Catégorie2]],TabMondiaux[[#This Row],[Equipe 2]]),TabEquipes[#All],4,FALSE)</f>
        <v>VENEZUELA</v>
      </c>
      <c r="I5" s="41" t="str">
        <f>VLOOKUP(CONCATENATE(TabMondiaux[[#This Row],[Catégorie2]],TabMondiaux[[#This Row],[Equipe 1]]),TabEquipes[#All],5,FALSE)</f>
        <v>\photos\FRANCE.jpg</v>
      </c>
      <c r="J5" s="41" t="str">
        <f>VLOOKUP(CONCATENATE(TabMondiaux[[#This Row],[Catégorie2]],TabMondiaux[[#This Row],[Equipe 2]]),TabEquipes[#All],5,FALSE)</f>
        <v>\photos\VENEZUELA.jpg</v>
      </c>
      <c r="K5" s="41" t="s">
        <v>325</v>
      </c>
    </row>
    <row r="6" spans="1:11">
      <c r="A6" s="41" t="str">
        <f t="shared" si="0"/>
        <v>Lundi 24 octobre 2022-Cesta Punta Féminine-3</v>
      </c>
      <c r="B6" t="s">
        <v>327</v>
      </c>
      <c r="C6" t="s">
        <v>373</v>
      </c>
      <c r="D6" s="15">
        <v>3</v>
      </c>
      <c r="E6" t="s">
        <v>330</v>
      </c>
      <c r="F6" t="s">
        <v>333</v>
      </c>
      <c r="G6" s="41" t="str">
        <f>VLOOKUP(CONCATENATE(TabMondiaux[[#This Row],[Catégorie2]],TabMondiaux[[#This Row],[Equipe 1]]),TabEquipes[#All],4,FALSE)</f>
        <v>FRANCE</v>
      </c>
      <c r="H6" s="41" t="str">
        <f>VLOOKUP(CONCATENATE(TabMondiaux[[#This Row],[Catégorie2]],TabMondiaux[[#This Row],[Equipe 2]]),TabEquipes[#All],4,FALSE)</f>
        <v>ESPAGNE</v>
      </c>
      <c r="I6" s="41" t="str">
        <f>VLOOKUP(CONCATENATE(TabMondiaux[[#This Row],[Catégorie2]],TabMondiaux[[#This Row],[Equipe 1]]),TabEquipes[#All],5,FALSE)</f>
        <v>\photos\FRANCE.jpg</v>
      </c>
      <c r="J6" s="41" t="str">
        <f>VLOOKUP(CONCATENATE(TabMondiaux[[#This Row],[Catégorie2]],TabMondiaux[[#This Row],[Equipe 2]]),TabEquipes[#All],5,FALSE)</f>
        <v>\photos\ESPAGNE.jpg</v>
      </c>
      <c r="K6" s="41" t="s">
        <v>326</v>
      </c>
    </row>
    <row r="7" spans="1:11">
      <c r="A7" s="41" t="str">
        <f t="shared" si="0"/>
        <v>Lundi 24 octobre 2022-Cesta Punta Masculine-4</v>
      </c>
      <c r="B7" t="s">
        <v>327</v>
      </c>
      <c r="C7" t="s">
        <v>374</v>
      </c>
      <c r="D7" s="15">
        <v>4</v>
      </c>
      <c r="E7" t="s">
        <v>330</v>
      </c>
      <c r="F7" t="s">
        <v>334</v>
      </c>
      <c r="G7" s="41" t="str">
        <f>VLOOKUP(CONCATENATE(TabMondiaux[[#This Row],[Catégorie2]],TabMondiaux[[#This Row],[Equipe 1]]),TabEquipes[#All],4,FALSE)</f>
        <v>FRANCE</v>
      </c>
      <c r="H7" s="41" t="str">
        <f>VLOOKUP(CONCATENATE(TabMondiaux[[#This Row],[Catégorie2]],TabMondiaux[[#This Row],[Equipe 2]]),TabEquipes[#All],4,FALSE)</f>
        <v>MEXIQUE</v>
      </c>
      <c r="I7" s="41" t="str">
        <f>VLOOKUP(CONCATENATE(TabMondiaux[[#This Row],[Catégorie2]],TabMondiaux[[#This Row],[Equipe 1]]),TabEquipes[#All],5,FALSE)</f>
        <v>\photos\FRANCE.jpg</v>
      </c>
      <c r="J7" s="41" t="str">
        <f>VLOOKUP(CONCATENATE(TabMondiaux[[#This Row],[Catégorie2]],TabMondiaux[[#This Row],[Equipe 2]]),TabEquipes[#All],5,FALSE)</f>
        <v>\photos\MEXIQUE.jpg</v>
      </c>
      <c r="K7" s="41" t="s">
        <v>325</v>
      </c>
    </row>
    <row r="8" spans="1:11">
      <c r="A8" s="41" t="str">
        <f t="shared" si="0"/>
        <v>Lundi 24 octobre 2022-Cesta Punta Masculine-5</v>
      </c>
      <c r="B8" t="s">
        <v>327</v>
      </c>
      <c r="C8" t="s">
        <v>374</v>
      </c>
      <c r="D8" s="15">
        <v>5</v>
      </c>
      <c r="E8" t="s">
        <v>331</v>
      </c>
      <c r="F8" t="s">
        <v>335</v>
      </c>
      <c r="G8" s="41" t="str">
        <f>VLOOKUP(CONCATENATE(TabMondiaux[[#This Row],[Catégorie2]],TabMondiaux[[#This Row],[Equipe 1]]),TabEquipes[#All],4,FALSE)</f>
        <v>ESPAGNE</v>
      </c>
      <c r="H8" s="41" t="str">
        <f>VLOOKUP(CONCATENATE(TabMondiaux[[#This Row],[Catégorie2]],TabMondiaux[[#This Row],[Equipe 2]]),TabEquipes[#All],4,FALSE)</f>
        <v>CUBA</v>
      </c>
      <c r="I8" s="41" t="str">
        <f>VLOOKUP(CONCATENATE(TabMondiaux[[#This Row],[Catégorie2]],TabMondiaux[[#This Row],[Equipe 1]]),TabEquipes[#All],5,FALSE)</f>
        <v>\photos\ESPAGNE.jpg</v>
      </c>
      <c r="J8" s="41" t="str">
        <f>VLOOKUP(CONCATENATE(TabMondiaux[[#This Row],[Catégorie2]],TabMondiaux[[#This Row],[Equipe 2]]),TabEquipes[#All],5,FALSE)</f>
        <v>\photos\CUBA.jpg</v>
      </c>
      <c r="K8" s="41" t="s">
        <v>325</v>
      </c>
    </row>
    <row r="9" spans="1:11">
      <c r="A9" s="41" t="str">
        <f t="shared" si="0"/>
        <v>Mardi 25 octobre 2022-Cesta Punta Féminine-1</v>
      </c>
      <c r="B9" t="s">
        <v>336</v>
      </c>
      <c r="C9" t="s">
        <v>373</v>
      </c>
      <c r="D9" s="15">
        <v>1</v>
      </c>
      <c r="E9" t="s">
        <v>333</v>
      </c>
      <c r="F9" t="s">
        <v>337</v>
      </c>
      <c r="G9" s="41" t="str">
        <f>VLOOKUP(CONCATENATE(TabMondiaux[[#This Row],[Catégorie2]],TabMondiaux[[#This Row],[Equipe 1]]),TabEquipes[#All],4,FALSE)</f>
        <v>ESPAGNE</v>
      </c>
      <c r="H9" s="41" t="str">
        <f>VLOOKUP(CONCATENATE(TabMondiaux[[#This Row],[Catégorie2]],TabMondiaux[[#This Row],[Equipe 2]]),TabEquipes[#All],4,FALSE)</f>
        <v>MEXIQUE</v>
      </c>
      <c r="I9" s="41" t="str">
        <f>VLOOKUP(CONCATENATE(TabMondiaux[[#This Row],[Catégorie2]],TabMondiaux[[#This Row],[Equipe 1]]),TabEquipes[#All],5,FALSE)</f>
        <v>\photos\ESPAGNE.jpg</v>
      </c>
      <c r="J9" s="41" t="str">
        <f>VLOOKUP(CONCATENATE(TabMondiaux[[#This Row],[Catégorie2]],TabMondiaux[[#This Row],[Equipe 2]]),TabEquipes[#All],5,FALSE)</f>
        <v>\photos\MEXIQUE.jpg</v>
      </c>
      <c r="K9" s="41" t="s">
        <v>326</v>
      </c>
    </row>
    <row r="10" spans="1:11">
      <c r="A10" s="41" t="str">
        <f t="shared" si="0"/>
        <v>Mardi 25 octobre 2022-Cesta Punta Féminine-2</v>
      </c>
      <c r="B10" t="s">
        <v>336</v>
      </c>
      <c r="C10" t="s">
        <v>373</v>
      </c>
      <c r="D10" s="15">
        <v>2</v>
      </c>
      <c r="E10" t="s">
        <v>332</v>
      </c>
      <c r="F10" t="s">
        <v>338</v>
      </c>
      <c r="G10" s="41" t="str">
        <f>VLOOKUP(CONCATENATE(TabMondiaux[[#This Row],[Catégorie2]],TabMondiaux[[#This Row],[Equipe 1]]),TabEquipes[#All],4,FALSE)</f>
        <v>FRANCE</v>
      </c>
      <c r="H10" s="41" t="str">
        <f>VLOOKUP(CONCATENATE(TabMondiaux[[#This Row],[Catégorie2]],TabMondiaux[[#This Row],[Equipe 2]]),TabEquipes[#All],4,FALSE)</f>
        <v>MEXIQUE</v>
      </c>
      <c r="I10" s="41" t="str">
        <f>VLOOKUP(CONCATENATE(TabMondiaux[[#This Row],[Catégorie2]],TabMondiaux[[#This Row],[Equipe 1]]),TabEquipes[#All],5,FALSE)</f>
        <v>\photos\FRANCE.jpg</v>
      </c>
      <c r="J10" s="41" t="str">
        <f>VLOOKUP(CONCATENATE(TabMondiaux[[#This Row],[Catégorie2]],TabMondiaux[[#This Row],[Equipe 2]]),TabEquipes[#All],5,FALSE)</f>
        <v>\photos\MEXIQUE.jpg</v>
      </c>
      <c r="K10" s="41" t="s">
        <v>326</v>
      </c>
    </row>
    <row r="11" spans="1:11">
      <c r="A11" s="41" t="str">
        <f t="shared" si="0"/>
        <v>Mardi 25 octobre 2022-Cesta Punta Masculine-3</v>
      </c>
      <c r="B11" t="s">
        <v>336</v>
      </c>
      <c r="C11" t="s">
        <v>374</v>
      </c>
      <c r="D11" s="15">
        <v>3</v>
      </c>
      <c r="E11" t="s">
        <v>334</v>
      </c>
      <c r="F11" t="s">
        <v>333</v>
      </c>
      <c r="G11" s="41" t="str">
        <f>VLOOKUP(CONCATENATE(TabMondiaux[[#This Row],[Catégorie2]],TabMondiaux[[#This Row],[Equipe 1]]),TabEquipes[#All],4,FALSE)</f>
        <v>MEXIQUE</v>
      </c>
      <c r="H11" s="41" t="str">
        <f>VLOOKUP(CONCATENATE(TabMondiaux[[#This Row],[Catégorie2]],TabMondiaux[[#This Row],[Equipe 2]]),TabEquipes[#All],4,FALSE)</f>
        <v>ESPAGNE</v>
      </c>
      <c r="I11" s="41" t="str">
        <f>VLOOKUP(CONCATENATE(TabMondiaux[[#This Row],[Catégorie2]],TabMondiaux[[#This Row],[Equipe 1]]),TabEquipes[#All],5,FALSE)</f>
        <v>\photos\MEXIQUE.jpg</v>
      </c>
      <c r="J11" s="41" t="str">
        <f>VLOOKUP(CONCATENATE(TabMondiaux[[#This Row],[Catégorie2]],TabMondiaux[[#This Row],[Equipe 2]]),TabEquipes[#All],5,FALSE)</f>
        <v>\photos\ESPAGNE.jpg</v>
      </c>
      <c r="K11" s="41" t="s">
        <v>325</v>
      </c>
    </row>
    <row r="12" spans="1:11">
      <c r="A12" s="41" t="str">
        <f t="shared" si="0"/>
        <v>Mardi 25 octobre 2022-Cesta Punta Masculine-4</v>
      </c>
      <c r="B12" t="s">
        <v>336</v>
      </c>
      <c r="C12" t="s">
        <v>374</v>
      </c>
      <c r="D12" s="15">
        <v>4</v>
      </c>
      <c r="E12" t="s">
        <v>328</v>
      </c>
      <c r="F12" t="s">
        <v>330</v>
      </c>
      <c r="G12" s="41" t="str">
        <f>VLOOKUP(CONCATENATE(TabMondiaux[[#This Row],[Catégorie2]],TabMondiaux[[#This Row],[Equipe 1]]),TabEquipes[#All],4,FALSE)</f>
        <v>ETATS-UNIS</v>
      </c>
      <c r="H12" s="41" t="str">
        <f>VLOOKUP(CONCATENATE(TabMondiaux[[#This Row],[Catégorie2]],TabMondiaux[[#This Row],[Equipe 2]]),TabEquipes[#All],4,FALSE)</f>
        <v>FRANCE</v>
      </c>
      <c r="I12" s="41" t="str">
        <f>VLOOKUP(CONCATENATE(TabMondiaux[[#This Row],[Catégorie2]],TabMondiaux[[#This Row],[Equipe 1]]),TabEquipes[#All],5,FALSE)</f>
        <v>\photos\ETATS-UNIS.jpg</v>
      </c>
      <c r="J12" s="41" t="str">
        <f>VLOOKUP(CONCATENATE(TabMondiaux[[#This Row],[Catégorie2]],TabMondiaux[[#This Row],[Equipe 2]]),TabEquipes[#All],5,FALSE)</f>
        <v>\photos\FRANCE.jpg</v>
      </c>
      <c r="K12" s="41" t="s">
        <v>325</v>
      </c>
    </row>
    <row r="13" spans="1:11">
      <c r="A13" s="41" t="str">
        <f t="shared" si="0"/>
        <v>Mardi 25 octobre 2022-Cesta Punta Masculine-5</v>
      </c>
      <c r="B13" t="s">
        <v>336</v>
      </c>
      <c r="C13" t="s">
        <v>374</v>
      </c>
      <c r="D13" s="15">
        <v>5</v>
      </c>
      <c r="E13" t="s">
        <v>335</v>
      </c>
      <c r="F13" t="s">
        <v>332</v>
      </c>
      <c r="G13" s="41" t="str">
        <f>VLOOKUP(CONCATENATE(TabMondiaux[[#This Row],[Catégorie2]],TabMondiaux[[#This Row],[Equipe 1]]),TabEquipes[#All],4,FALSE)</f>
        <v>CUBA</v>
      </c>
      <c r="H13" s="41" t="str">
        <f>VLOOKUP(CONCATENATE(TabMondiaux[[#This Row],[Catégorie2]],TabMondiaux[[#This Row],[Equipe 2]]),TabEquipes[#All],4,FALSE)</f>
        <v>FRANCE</v>
      </c>
      <c r="I13" s="41" t="str">
        <f>VLOOKUP(CONCATENATE(TabMondiaux[[#This Row],[Catégorie2]],TabMondiaux[[#This Row],[Equipe 1]]),TabEquipes[#All],5,FALSE)</f>
        <v>\photos\CUBA.jpg</v>
      </c>
      <c r="J13" s="41" t="str">
        <f>VLOOKUP(CONCATENATE(TabMondiaux[[#This Row],[Catégorie2]],TabMondiaux[[#This Row],[Equipe 2]]),TabEquipes[#All],5,FALSE)</f>
        <v>\photos\FRANCE.jpg</v>
      </c>
      <c r="K13" s="41" t="s">
        <v>325</v>
      </c>
    </row>
    <row r="14" spans="1:11">
      <c r="A14" s="41" t="str">
        <f t="shared" si="0"/>
        <v>Mardi 25 octobre 2022-Cesta Punta Masculine-6</v>
      </c>
      <c r="B14" t="s">
        <v>336</v>
      </c>
      <c r="C14" t="s">
        <v>374</v>
      </c>
      <c r="D14" s="15">
        <v>6</v>
      </c>
      <c r="E14" t="s">
        <v>329</v>
      </c>
      <c r="F14" t="s">
        <v>331</v>
      </c>
      <c r="G14" s="41" t="str">
        <f>VLOOKUP(CONCATENATE(TabMondiaux[[#This Row],[Catégorie2]],TabMondiaux[[#This Row],[Equipe 1]]),TabEquipes[#All],4,FALSE)</f>
        <v>VENEZUELA</v>
      </c>
      <c r="H14" s="41" t="str">
        <f>VLOOKUP(CONCATENATE(TabMondiaux[[#This Row],[Catégorie2]],TabMondiaux[[#This Row],[Equipe 2]]),TabEquipes[#All],4,FALSE)</f>
        <v>ESPAGNE</v>
      </c>
      <c r="I14" s="41" t="str">
        <f>VLOOKUP(CONCATENATE(TabMondiaux[[#This Row],[Catégorie2]],TabMondiaux[[#This Row],[Equipe 1]]),TabEquipes[#All],5,FALSE)</f>
        <v>\photos\VENEZUELA.jpg</v>
      </c>
      <c r="J14" s="41" t="str">
        <f>VLOOKUP(CONCATENATE(TabMondiaux[[#This Row],[Catégorie2]],TabMondiaux[[#This Row],[Equipe 2]]),TabEquipes[#All],5,FALSE)</f>
        <v>\photos\ESPAGNE.jpg</v>
      </c>
      <c r="K14" s="41" t="s">
        <v>325</v>
      </c>
    </row>
    <row r="15" spans="1:11">
      <c r="A15" s="41" t="str">
        <f t="shared" si="0"/>
        <v>Mercredi 26 octobre 2022-Cesta Punta Féminine-1</v>
      </c>
      <c r="B15" t="s">
        <v>339</v>
      </c>
      <c r="C15" t="s">
        <v>373</v>
      </c>
      <c r="D15" s="15">
        <v>1</v>
      </c>
      <c r="E15" t="s">
        <v>330</v>
      </c>
      <c r="F15" t="s">
        <v>337</v>
      </c>
      <c r="G15" s="41" t="str">
        <f>VLOOKUP(CONCATENATE(TabMondiaux[[#This Row],[Catégorie2]],TabMondiaux[[#This Row],[Equipe 1]]),TabEquipes[#All],4,FALSE)</f>
        <v>FRANCE</v>
      </c>
      <c r="H15" s="41" t="str">
        <f>VLOOKUP(CONCATENATE(TabMondiaux[[#This Row],[Catégorie2]],TabMondiaux[[#This Row],[Equipe 2]]),TabEquipes[#All],4,FALSE)</f>
        <v>MEXIQUE</v>
      </c>
      <c r="I15" s="41" t="str">
        <f>VLOOKUP(CONCATENATE(TabMondiaux[[#This Row],[Catégorie2]],TabMondiaux[[#This Row],[Equipe 1]]),TabEquipes[#All],5,FALSE)</f>
        <v>\photos\FRANCE.jpg</v>
      </c>
      <c r="J15" s="41" t="str">
        <f>VLOOKUP(CONCATENATE(TabMondiaux[[#This Row],[Catégorie2]],TabMondiaux[[#This Row],[Equipe 2]]),TabEquipes[#All],5,FALSE)</f>
        <v>\photos\MEXIQUE.jpg</v>
      </c>
      <c r="K15" s="41" t="s">
        <v>326</v>
      </c>
    </row>
    <row r="16" spans="1:11">
      <c r="A16" s="41" t="str">
        <f t="shared" si="0"/>
        <v>Mercredi 26 octobre 2022-Cesta Punta Féminine-2</v>
      </c>
      <c r="B16" t="s">
        <v>339</v>
      </c>
      <c r="C16" t="s">
        <v>373</v>
      </c>
      <c r="D16" s="15">
        <v>2</v>
      </c>
      <c r="E16" t="s">
        <v>331</v>
      </c>
      <c r="F16" t="s">
        <v>338</v>
      </c>
      <c r="G16" s="41" t="str">
        <f>VLOOKUP(CONCATENATE(TabMondiaux[[#This Row],[Catégorie2]],TabMondiaux[[#This Row],[Equipe 1]]),TabEquipes[#All],4,FALSE)</f>
        <v>ESPAGNE</v>
      </c>
      <c r="H16" s="41" t="str">
        <f>VLOOKUP(CONCATENATE(TabMondiaux[[#This Row],[Catégorie2]],TabMondiaux[[#This Row],[Equipe 2]]),TabEquipes[#All],4,FALSE)</f>
        <v>MEXIQUE</v>
      </c>
      <c r="I16" s="41" t="str">
        <f>VLOOKUP(CONCATENATE(TabMondiaux[[#This Row],[Catégorie2]],TabMondiaux[[#This Row],[Equipe 1]]),TabEquipes[#All],5,FALSE)</f>
        <v>\photos\ESPAGNE.jpg</v>
      </c>
      <c r="J16" s="41" t="str">
        <f>VLOOKUP(CONCATENATE(TabMondiaux[[#This Row],[Catégorie2]],TabMondiaux[[#This Row],[Equipe 2]]),TabEquipes[#All],5,FALSE)</f>
        <v>\photos\MEXIQUE.jpg</v>
      </c>
      <c r="K16" s="41" t="s">
        <v>326</v>
      </c>
    </row>
    <row r="17" spans="1:11">
      <c r="A17" s="41" t="str">
        <f t="shared" si="0"/>
        <v>Mercredi 26 octobre 2022-Cesta Punta Masculine-3</v>
      </c>
      <c r="B17" t="s">
        <v>339</v>
      </c>
      <c r="C17" t="s">
        <v>374</v>
      </c>
      <c r="D17" s="15">
        <v>3</v>
      </c>
      <c r="E17" t="s">
        <v>333</v>
      </c>
      <c r="F17" t="s">
        <v>330</v>
      </c>
      <c r="G17" s="41" t="str">
        <f>VLOOKUP(CONCATENATE(TabMondiaux[[#This Row],[Catégorie2]],TabMondiaux[[#This Row],[Equipe 1]]),TabEquipes[#All],4,FALSE)</f>
        <v>ESPAGNE</v>
      </c>
      <c r="H17" s="41" t="str">
        <f>VLOOKUP(CONCATENATE(TabMondiaux[[#This Row],[Catégorie2]],TabMondiaux[[#This Row],[Equipe 2]]),TabEquipes[#All],4,FALSE)</f>
        <v>FRANCE</v>
      </c>
      <c r="I17" s="41" t="str">
        <f>VLOOKUP(CONCATENATE(TabMondiaux[[#This Row],[Catégorie2]],TabMondiaux[[#This Row],[Equipe 1]]),TabEquipes[#All],5,FALSE)</f>
        <v>\photos\ESPAGNE.jpg</v>
      </c>
      <c r="J17" s="41" t="str">
        <f>VLOOKUP(CONCATENATE(TabMondiaux[[#This Row],[Catégorie2]],TabMondiaux[[#This Row],[Equipe 2]]),TabEquipes[#All],5,FALSE)</f>
        <v>\photos\FRANCE.jpg</v>
      </c>
      <c r="K17" s="41" t="s">
        <v>325</v>
      </c>
    </row>
    <row r="18" spans="1:11">
      <c r="A18" s="41" t="str">
        <f t="shared" si="0"/>
        <v>Mercredi 26 octobre 2022-Cesta Punta Masculine-4</v>
      </c>
      <c r="B18" t="s">
        <v>339</v>
      </c>
      <c r="C18" t="s">
        <v>374</v>
      </c>
      <c r="D18" s="15">
        <v>4</v>
      </c>
      <c r="E18" t="s">
        <v>335</v>
      </c>
      <c r="F18" t="s">
        <v>329</v>
      </c>
      <c r="G18" s="41" t="str">
        <f>VLOOKUP(CONCATENATE(TabMondiaux[[#This Row],[Catégorie2]],TabMondiaux[[#This Row],[Equipe 1]]),TabEquipes[#All],4,FALSE)</f>
        <v>CUBA</v>
      </c>
      <c r="H18" s="41" t="str">
        <f>VLOOKUP(CONCATENATE(TabMondiaux[[#This Row],[Catégorie2]],TabMondiaux[[#This Row],[Equipe 2]]),TabEquipes[#All],4,FALSE)</f>
        <v>VENEZUELA</v>
      </c>
      <c r="I18" s="41" t="str">
        <f>VLOOKUP(CONCATENATE(TabMondiaux[[#This Row],[Catégorie2]],TabMondiaux[[#This Row],[Equipe 1]]),TabEquipes[#All],5,FALSE)</f>
        <v>\photos\CUBA.jpg</v>
      </c>
      <c r="J18" s="41" t="str">
        <f>VLOOKUP(CONCATENATE(TabMondiaux[[#This Row],[Catégorie2]],TabMondiaux[[#This Row],[Equipe 2]]),TabEquipes[#All],5,FALSE)</f>
        <v>\photos\VENEZUELA.jpg</v>
      </c>
      <c r="K18" s="41" t="s">
        <v>325</v>
      </c>
    </row>
    <row r="19" spans="1:11">
      <c r="A19" s="41" t="str">
        <f t="shared" si="0"/>
        <v>Mercredi 26 octobre 2022-Cesta Punta Masculine-5</v>
      </c>
      <c r="B19" t="s">
        <v>339</v>
      </c>
      <c r="C19" t="s">
        <v>374</v>
      </c>
      <c r="D19" s="15">
        <v>5</v>
      </c>
      <c r="E19" t="s">
        <v>334</v>
      </c>
      <c r="F19" t="s">
        <v>328</v>
      </c>
      <c r="G19" s="41" t="str">
        <f>VLOOKUP(CONCATENATE(TabMondiaux[[#This Row],[Catégorie2]],TabMondiaux[[#This Row],[Equipe 1]]),TabEquipes[#All],4,FALSE)</f>
        <v>MEXIQUE</v>
      </c>
      <c r="H19" s="41" t="str">
        <f>VLOOKUP(CONCATENATE(TabMondiaux[[#This Row],[Catégorie2]],TabMondiaux[[#This Row],[Equipe 2]]),TabEquipes[#All],4,FALSE)</f>
        <v>ETATS-UNIS</v>
      </c>
      <c r="I19" s="41" t="str">
        <f>VLOOKUP(CONCATENATE(TabMondiaux[[#This Row],[Catégorie2]],TabMondiaux[[#This Row],[Equipe 1]]),TabEquipes[#All],5,FALSE)</f>
        <v>\photos\MEXIQUE.jpg</v>
      </c>
      <c r="J19" s="41" t="str">
        <f>VLOOKUP(CONCATENATE(TabMondiaux[[#This Row],[Catégorie2]],TabMondiaux[[#This Row],[Equipe 2]]),TabEquipes[#All],5,FALSE)</f>
        <v>\photos\ETATS-UNIS.jpg</v>
      </c>
      <c r="K19" s="41" t="s">
        <v>325</v>
      </c>
    </row>
    <row r="20" spans="1:11">
      <c r="A20" s="41" t="str">
        <f t="shared" si="0"/>
        <v>Jeudi 27 octobre 2022-Classement 7°-8° Masculin-7°-8°</v>
      </c>
      <c r="B20" t="s">
        <v>340</v>
      </c>
      <c r="C20" t="s">
        <v>361</v>
      </c>
      <c r="D20" s="15" t="s">
        <v>341</v>
      </c>
      <c r="G20" s="41" t="e">
        <f>VLOOKUP(CONCATENATE(TabMondiaux[[#This Row],[Catégorie2]],TabMondiaux[[#This Row],[Equipe 1]]),TabEquipes[#All],4,FALSE)</f>
        <v>#N/A</v>
      </c>
      <c r="H20" s="41" t="e">
        <f>VLOOKUP(CONCATENATE(TabMondiaux[[#This Row],[Catégorie2]],TabMondiaux[[#This Row],[Equipe 2]]),TabEquipes[#All],4,FALSE)</f>
        <v>#N/A</v>
      </c>
      <c r="I20" s="41" t="e">
        <f>VLOOKUP(CONCATENATE(TabMondiaux[[#This Row],[Catégorie2]],TabMondiaux[[#This Row],[Equipe 1]]),TabEquipes[#All],5,FALSE)</f>
        <v>#N/A</v>
      </c>
      <c r="J20" s="41" t="e">
        <f>VLOOKUP(CONCATENATE(TabMondiaux[[#This Row],[Catégorie2]],TabMondiaux[[#This Row],[Equipe 2]]),TabEquipes[#All],5,FALSE)</f>
        <v>#N/A</v>
      </c>
      <c r="K20" s="41" t="s">
        <v>325</v>
      </c>
    </row>
    <row r="21" spans="1:11">
      <c r="A21" s="41" t="str">
        <f t="shared" si="0"/>
        <v>Jeudi 27 octobre 2022-Classement 5°-6° Féminines-5°-6°</v>
      </c>
      <c r="B21" t="s">
        <v>340</v>
      </c>
      <c r="C21" t="s">
        <v>363</v>
      </c>
      <c r="D21" s="15" t="s">
        <v>342</v>
      </c>
      <c r="G21" s="41" t="e">
        <f>VLOOKUP(CONCATENATE(TabMondiaux[[#This Row],[Catégorie2]],TabMondiaux[[#This Row],[Equipe 1]]),TabEquipes[#All],4,FALSE)</f>
        <v>#N/A</v>
      </c>
      <c r="H21" s="41" t="e">
        <f>VLOOKUP(CONCATENATE(TabMondiaux[[#This Row],[Catégorie2]],TabMondiaux[[#This Row],[Equipe 2]]),TabEquipes[#All],4,FALSE)</f>
        <v>#N/A</v>
      </c>
      <c r="I21" s="41" t="e">
        <f>VLOOKUP(CONCATENATE(TabMondiaux[[#This Row],[Catégorie2]],TabMondiaux[[#This Row],[Equipe 1]]),TabEquipes[#All],5,FALSE)</f>
        <v>#N/A</v>
      </c>
      <c r="J21" s="41" t="e">
        <f>VLOOKUP(CONCATENATE(TabMondiaux[[#This Row],[Catégorie2]],TabMondiaux[[#This Row],[Equipe 2]]),TabEquipes[#All],5,FALSE)</f>
        <v>#N/A</v>
      </c>
      <c r="K21" s="41" t="s">
        <v>326</v>
      </c>
    </row>
    <row r="22" spans="1:11">
      <c r="A22" s="41" t="str">
        <f t="shared" si="0"/>
        <v>Jeudi 27 octobre 2022-Classement 5°-6° Masculin-5°-6°</v>
      </c>
      <c r="B22" t="s">
        <v>340</v>
      </c>
      <c r="C22" t="s">
        <v>362</v>
      </c>
      <c r="D22" s="15" t="s">
        <v>342</v>
      </c>
      <c r="G22" s="41" t="e">
        <f>VLOOKUP(CONCATENATE(TabMondiaux[[#This Row],[Catégorie2]],TabMondiaux[[#This Row],[Equipe 1]]),TabEquipes[#All],4,FALSE)</f>
        <v>#N/A</v>
      </c>
      <c r="H22" s="41" t="e">
        <f>VLOOKUP(CONCATENATE(TabMondiaux[[#This Row],[Catégorie2]],TabMondiaux[[#This Row],[Equipe 2]]),TabEquipes[#All],4,FALSE)</f>
        <v>#N/A</v>
      </c>
      <c r="I22" s="41" t="e">
        <f>VLOOKUP(CONCATENATE(TabMondiaux[[#This Row],[Catégorie2]],TabMondiaux[[#This Row],[Equipe 1]]),TabEquipes[#All],5,FALSE)</f>
        <v>#N/A</v>
      </c>
      <c r="J22" s="41" t="e">
        <f>VLOOKUP(CONCATENATE(TabMondiaux[[#This Row],[Catégorie2]],TabMondiaux[[#This Row],[Equipe 2]]),TabEquipes[#All],5,FALSE)</f>
        <v>#N/A</v>
      </c>
      <c r="K22" s="41" t="s">
        <v>325</v>
      </c>
    </row>
    <row r="23" spans="1:11">
      <c r="A23" s="41" t="str">
        <f t="shared" si="0"/>
        <v>Jeudi 27 octobre 2022-1° demi-finale Féminine-1° Demi-finale</v>
      </c>
      <c r="B23" t="s">
        <v>340</v>
      </c>
      <c r="C23" t="s">
        <v>364</v>
      </c>
      <c r="D23" s="15" t="s">
        <v>343</v>
      </c>
      <c r="G23" s="41" t="e">
        <f>VLOOKUP(CONCATENATE(TabMondiaux[[#This Row],[Catégorie2]],TabMondiaux[[#This Row],[Equipe 1]]),TabEquipes[#All],4,FALSE)</f>
        <v>#N/A</v>
      </c>
      <c r="H23" s="41" t="e">
        <f>VLOOKUP(CONCATENATE(TabMondiaux[[#This Row],[Catégorie2]],TabMondiaux[[#This Row],[Equipe 2]]),TabEquipes[#All],4,FALSE)</f>
        <v>#N/A</v>
      </c>
      <c r="I23" s="41" t="e">
        <f>VLOOKUP(CONCATENATE(TabMondiaux[[#This Row],[Catégorie2]],TabMondiaux[[#This Row],[Equipe 1]]),TabEquipes[#All],5,FALSE)</f>
        <v>#N/A</v>
      </c>
      <c r="J23" s="41" t="e">
        <f>VLOOKUP(CONCATENATE(TabMondiaux[[#This Row],[Catégorie2]],TabMondiaux[[#This Row],[Equipe 2]]),TabEquipes[#All],5,FALSE)</f>
        <v>#N/A</v>
      </c>
      <c r="K23" s="41" t="s">
        <v>326</v>
      </c>
    </row>
    <row r="24" spans="1:11">
      <c r="A24" s="41" t="str">
        <f t="shared" si="0"/>
        <v>Jeudi 27 octobre 2022-2° demi-finale Féminine-2° Demi-finale</v>
      </c>
      <c r="B24" t="s">
        <v>340</v>
      </c>
      <c r="C24" t="s">
        <v>365</v>
      </c>
      <c r="D24" s="15" t="s">
        <v>344</v>
      </c>
      <c r="G24" s="41" t="e">
        <f>VLOOKUP(CONCATENATE(TabMondiaux[[#This Row],[Catégorie2]],TabMondiaux[[#This Row],[Equipe 1]]),TabEquipes[#All],4,FALSE)</f>
        <v>#N/A</v>
      </c>
      <c r="H24" s="41" t="e">
        <f>VLOOKUP(CONCATENATE(TabMondiaux[[#This Row],[Catégorie2]],TabMondiaux[[#This Row],[Equipe 2]]),TabEquipes[#All],4,FALSE)</f>
        <v>#N/A</v>
      </c>
      <c r="I24" s="41" t="e">
        <f>VLOOKUP(CONCATENATE(TabMondiaux[[#This Row],[Catégorie2]],TabMondiaux[[#This Row],[Equipe 1]]),TabEquipes[#All],5,FALSE)</f>
        <v>#N/A</v>
      </c>
      <c r="J24" s="41" t="e">
        <f>VLOOKUP(CONCATENATE(TabMondiaux[[#This Row],[Catégorie2]],TabMondiaux[[#This Row],[Equipe 2]]),TabEquipes[#All],5,FALSE)</f>
        <v>#N/A</v>
      </c>
      <c r="K24" s="41" t="s">
        <v>326</v>
      </c>
    </row>
    <row r="25" spans="1:11">
      <c r="A25" s="41" t="str">
        <f t="shared" si="0"/>
        <v>Jeudi 27 octobre 2022-1° demi-finale Masculin-1° Demi-finale</v>
      </c>
      <c r="B25" t="s">
        <v>340</v>
      </c>
      <c r="C25" t="s">
        <v>366</v>
      </c>
      <c r="D25" s="15" t="s">
        <v>343</v>
      </c>
      <c r="G25" s="41" t="e">
        <f>VLOOKUP(CONCATENATE(TabMondiaux[[#This Row],[Catégorie2]],TabMondiaux[[#This Row],[Equipe 1]]),TabEquipes[#All],4,FALSE)</f>
        <v>#N/A</v>
      </c>
      <c r="H25" s="41" t="e">
        <f>VLOOKUP(CONCATENATE(TabMondiaux[[#This Row],[Catégorie2]],TabMondiaux[[#This Row],[Equipe 2]]),TabEquipes[#All],4,FALSE)</f>
        <v>#N/A</v>
      </c>
      <c r="I25" s="41" t="e">
        <f>VLOOKUP(CONCATENATE(TabMondiaux[[#This Row],[Catégorie2]],TabMondiaux[[#This Row],[Equipe 1]]),TabEquipes[#All],5,FALSE)</f>
        <v>#N/A</v>
      </c>
      <c r="J25" s="41" t="e">
        <f>VLOOKUP(CONCATENATE(TabMondiaux[[#This Row],[Catégorie2]],TabMondiaux[[#This Row],[Equipe 2]]),TabEquipes[#All],5,FALSE)</f>
        <v>#N/A</v>
      </c>
      <c r="K25" s="41" t="s">
        <v>325</v>
      </c>
    </row>
    <row r="26" spans="1:11">
      <c r="A26" s="41" t="str">
        <f t="shared" si="0"/>
        <v>Jeudi 27 octobre 2022-2° demi-finale Masculin-2° Demi-finale</v>
      </c>
      <c r="B26" t="s">
        <v>340</v>
      </c>
      <c r="C26" t="s">
        <v>367</v>
      </c>
      <c r="D26" s="15" t="s">
        <v>344</v>
      </c>
      <c r="G26" s="41" t="e">
        <f>VLOOKUP(CONCATENATE(TabMondiaux[[#This Row],[Catégorie2]],TabMondiaux[[#This Row],[Equipe 1]]),TabEquipes[#All],4,FALSE)</f>
        <v>#N/A</v>
      </c>
      <c r="H26" s="41" t="e">
        <f>VLOOKUP(CONCATENATE(TabMondiaux[[#This Row],[Catégorie2]],TabMondiaux[[#This Row],[Equipe 2]]),TabEquipes[#All],4,FALSE)</f>
        <v>#N/A</v>
      </c>
      <c r="I26" s="41" t="e">
        <f>VLOOKUP(CONCATENATE(TabMondiaux[[#This Row],[Catégorie2]],TabMondiaux[[#This Row],[Equipe 1]]),TabEquipes[#All],5,FALSE)</f>
        <v>#N/A</v>
      </c>
      <c r="J26" s="41" t="e">
        <f>VLOOKUP(CONCATENATE(TabMondiaux[[#This Row],[Catégorie2]],TabMondiaux[[#This Row],[Equipe 2]]),TabEquipes[#All],5,FALSE)</f>
        <v>#N/A</v>
      </c>
      <c r="K26" s="41" t="s">
        <v>325</v>
      </c>
    </row>
    <row r="27" spans="1:11">
      <c r="A27" s="41" t="str">
        <f t="shared" si="0"/>
        <v>Samedi 29 octobre 2022-3°-4° Féminine-3°-4°</v>
      </c>
      <c r="B27" t="s">
        <v>345</v>
      </c>
      <c r="C27" t="s">
        <v>368</v>
      </c>
      <c r="D27" s="15" t="s">
        <v>346</v>
      </c>
      <c r="G27" s="41" t="e">
        <f>VLOOKUP(CONCATENATE(TabMondiaux[[#This Row],[Catégorie2]],TabMondiaux[[#This Row],[Equipe 1]]),TabEquipes[#All],4,FALSE)</f>
        <v>#N/A</v>
      </c>
      <c r="H27" s="41" t="e">
        <f>VLOOKUP(CONCATENATE(TabMondiaux[[#This Row],[Catégorie2]],TabMondiaux[[#This Row],[Equipe 2]]),TabEquipes[#All],4,FALSE)</f>
        <v>#N/A</v>
      </c>
      <c r="I27" s="41" t="e">
        <f>VLOOKUP(CONCATENATE(TabMondiaux[[#This Row],[Catégorie2]],TabMondiaux[[#This Row],[Equipe 1]]),TabEquipes[#All],5,FALSE)</f>
        <v>#N/A</v>
      </c>
      <c r="J27" s="41" t="e">
        <f>VLOOKUP(CONCATENATE(TabMondiaux[[#This Row],[Catégorie2]],TabMondiaux[[#This Row],[Equipe 2]]),TabEquipes[#All],5,FALSE)</f>
        <v>#N/A</v>
      </c>
      <c r="K27" s="41" t="s">
        <v>326</v>
      </c>
    </row>
    <row r="28" spans="1:11">
      <c r="A28" s="41" t="str">
        <f t="shared" si="0"/>
        <v>Samedi 29 octobre 2022-3°-4° Masculin-3°-4°</v>
      </c>
      <c r="B28" t="s">
        <v>345</v>
      </c>
      <c r="C28" t="s">
        <v>369</v>
      </c>
      <c r="D28" s="15" t="s">
        <v>346</v>
      </c>
      <c r="G28" s="41" t="e">
        <f>VLOOKUP(CONCATENATE(TabMondiaux[[#This Row],[Catégorie2]],TabMondiaux[[#This Row],[Equipe 1]]),TabEquipes[#All],4,FALSE)</f>
        <v>#N/A</v>
      </c>
      <c r="H28" s="41" t="e">
        <f>VLOOKUP(CONCATENATE(TabMondiaux[[#This Row],[Catégorie2]],TabMondiaux[[#This Row],[Equipe 2]]),TabEquipes[#All],4,FALSE)</f>
        <v>#N/A</v>
      </c>
      <c r="I28" s="41" t="e">
        <f>VLOOKUP(CONCATENATE(TabMondiaux[[#This Row],[Catégorie2]],TabMondiaux[[#This Row],[Equipe 1]]),TabEquipes[#All],5,FALSE)</f>
        <v>#N/A</v>
      </c>
      <c r="J28" s="41" t="e">
        <f>VLOOKUP(CONCATENATE(TabMondiaux[[#This Row],[Catégorie2]],TabMondiaux[[#This Row],[Equipe 2]]),TabEquipes[#All],5,FALSE)</f>
        <v>#N/A</v>
      </c>
      <c r="K28" s="41" t="s">
        <v>325</v>
      </c>
    </row>
    <row r="29" spans="1:11">
      <c r="A29" s="41" t="str">
        <f t="shared" si="0"/>
        <v>Samedi 29 octobre 2022-Finale Masculin-Finale</v>
      </c>
      <c r="B29" t="s">
        <v>345</v>
      </c>
      <c r="C29" t="s">
        <v>370</v>
      </c>
      <c r="D29" s="15" t="s">
        <v>315</v>
      </c>
      <c r="G29" s="41" t="e">
        <f>VLOOKUP(CONCATENATE(TabMondiaux[[#This Row],[Catégorie2]],TabMondiaux[[#This Row],[Equipe 1]]),TabEquipes[#All],4,FALSE)</f>
        <v>#N/A</v>
      </c>
      <c r="H29" s="41" t="e">
        <f>VLOOKUP(CONCATENATE(TabMondiaux[[#This Row],[Catégorie2]],TabMondiaux[[#This Row],[Equipe 2]]),TabEquipes[#All],4,FALSE)</f>
        <v>#N/A</v>
      </c>
      <c r="I29" s="41" t="e">
        <f>VLOOKUP(CONCATENATE(TabMondiaux[[#This Row],[Catégorie2]],TabMondiaux[[#This Row],[Equipe 1]]),TabEquipes[#All],5,FALSE)</f>
        <v>#N/A</v>
      </c>
      <c r="J29" s="41" t="e">
        <f>VLOOKUP(CONCATENATE(TabMondiaux[[#This Row],[Catégorie2]],TabMondiaux[[#This Row],[Equipe 2]]),TabEquipes[#All],5,FALSE)</f>
        <v>#N/A</v>
      </c>
      <c r="K29" s="41" t="s">
        <v>325</v>
      </c>
    </row>
    <row r="30" spans="1:11">
      <c r="A30" s="41" t="str">
        <f t="shared" si="0"/>
        <v>Samedi 29 octobre 2022-Finale Féminine-Finale</v>
      </c>
      <c r="B30" t="s">
        <v>345</v>
      </c>
      <c r="C30" t="s">
        <v>371</v>
      </c>
      <c r="D30" s="15" t="s">
        <v>315</v>
      </c>
      <c r="G30" s="41" t="e">
        <f>VLOOKUP(CONCATENATE(TabMondiaux[[#This Row],[Catégorie2]],TabMondiaux[[#This Row],[Equipe 1]]),TabEquipes[#All],4,FALSE)</f>
        <v>#N/A</v>
      </c>
      <c r="H30" s="41" t="e">
        <f>VLOOKUP(CONCATENATE(TabMondiaux[[#This Row],[Catégorie2]],TabMondiaux[[#This Row],[Equipe 2]]),TabEquipes[#All],4,FALSE)</f>
        <v>#N/A</v>
      </c>
      <c r="I30" s="41" t="e">
        <f>VLOOKUP(CONCATENATE(TabMondiaux[[#This Row],[Catégorie2]],TabMondiaux[[#This Row],[Equipe 1]]),TabEquipes[#All],5,FALSE)</f>
        <v>#N/A</v>
      </c>
      <c r="J30" s="41" t="e">
        <f>VLOOKUP(CONCATENATE(TabMondiaux[[#This Row],[Catégorie2]],TabMondiaux[[#This Row],[Equipe 2]]),TabEquipes[#All],5,FALSE)</f>
        <v>#N/A</v>
      </c>
      <c r="K30" s="41" t="s">
        <v>326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2"/>
  <dimension ref="A1:I15"/>
  <sheetViews>
    <sheetView workbookViewId="0">
      <selection activeCell="E4" sqref="E4"/>
    </sheetView>
  </sheetViews>
  <sheetFormatPr baseColWidth="10" defaultRowHeight="15"/>
  <cols>
    <col min="5" max="5" width="21.28515625" bestFit="1" customWidth="1"/>
  </cols>
  <sheetData>
    <row r="1" spans="1:9">
      <c r="A1" t="s">
        <v>79</v>
      </c>
      <c r="B1" t="s">
        <v>324</v>
      </c>
      <c r="C1" t="s">
        <v>0</v>
      </c>
      <c r="D1" t="s">
        <v>347</v>
      </c>
      <c r="E1" t="s">
        <v>348</v>
      </c>
      <c r="F1" t="s">
        <v>353</v>
      </c>
      <c r="G1" t="s">
        <v>354</v>
      </c>
      <c r="H1" t="s">
        <v>355</v>
      </c>
      <c r="I1" t="s">
        <v>356</v>
      </c>
    </row>
    <row r="2" spans="1:9">
      <c r="A2" s="2" t="str">
        <f>_xlfn.CONCAT(B2,C2)</f>
        <v>FEMININEESPAGNE A</v>
      </c>
      <c r="B2" s="2" t="s">
        <v>326</v>
      </c>
      <c r="C2" s="2" t="s">
        <v>333</v>
      </c>
      <c r="D2" s="2" t="s">
        <v>349</v>
      </c>
      <c r="E2" s="48" t="str">
        <f>"\photos\" &amp; D2 &amp; ".jpg"</f>
        <v>\photos\ESPAGNE.jpg</v>
      </c>
      <c r="F2" s="2"/>
      <c r="G2" s="2"/>
      <c r="H2" s="2"/>
      <c r="I2" s="2"/>
    </row>
    <row r="3" spans="1:9">
      <c r="A3" s="2" t="str">
        <f t="shared" ref="A3:A15" si="0">_xlfn.CONCAT(B3,C3)</f>
        <v>FEMININEESPAGNE B</v>
      </c>
      <c r="B3" s="2" t="s">
        <v>326</v>
      </c>
      <c r="C3" s="2" t="s">
        <v>331</v>
      </c>
      <c r="D3" s="2" t="s">
        <v>349</v>
      </c>
      <c r="E3" s="48" t="str">
        <f t="shared" ref="E3:E15" si="1">"\photos\" &amp; D3 &amp; ".jpg"</f>
        <v>\photos\ESPAGNE.jpg</v>
      </c>
      <c r="F3" s="2"/>
      <c r="G3" s="2"/>
      <c r="H3" s="2"/>
      <c r="I3" s="2"/>
    </row>
    <row r="4" spans="1:9">
      <c r="A4" s="2" t="str">
        <f t="shared" si="0"/>
        <v>FEMININEFRANCE A</v>
      </c>
      <c r="B4" s="2" t="s">
        <v>326</v>
      </c>
      <c r="C4" s="2" t="s">
        <v>332</v>
      </c>
      <c r="D4" s="2" t="s">
        <v>350</v>
      </c>
      <c r="E4" s="48" t="str">
        <f t="shared" si="1"/>
        <v>\photos\FRANCE.jpg</v>
      </c>
      <c r="F4" s="2"/>
      <c r="G4" s="2"/>
      <c r="H4" s="2"/>
      <c r="I4" s="2"/>
    </row>
    <row r="5" spans="1:9">
      <c r="A5" s="2" t="str">
        <f t="shared" si="0"/>
        <v>FEMININEFRANCE B</v>
      </c>
      <c r="B5" s="2" t="s">
        <v>326</v>
      </c>
      <c r="C5" s="2" t="s">
        <v>330</v>
      </c>
      <c r="D5" s="2" t="s">
        <v>350</v>
      </c>
      <c r="E5" s="48" t="str">
        <f t="shared" si="1"/>
        <v>\photos\FRANCE.jpg</v>
      </c>
      <c r="F5" s="2"/>
      <c r="G5" s="2"/>
      <c r="H5" s="2"/>
      <c r="I5" s="2"/>
    </row>
    <row r="6" spans="1:9">
      <c r="A6" s="2" t="str">
        <f t="shared" si="0"/>
        <v>FEMININEMEXIQUE A</v>
      </c>
      <c r="B6" s="2" t="s">
        <v>326</v>
      </c>
      <c r="C6" s="2" t="s">
        <v>338</v>
      </c>
      <c r="D6" s="2" t="s">
        <v>334</v>
      </c>
      <c r="E6" s="48" t="str">
        <f t="shared" si="1"/>
        <v>\photos\MEXIQUE.jpg</v>
      </c>
      <c r="F6" s="2"/>
      <c r="G6" s="2"/>
      <c r="H6" s="2"/>
      <c r="I6" s="2"/>
    </row>
    <row r="7" spans="1:9">
      <c r="A7" s="2" t="str">
        <f t="shared" si="0"/>
        <v>FEMININEMEXIQUE B</v>
      </c>
      <c r="B7" s="2" t="s">
        <v>326</v>
      </c>
      <c r="C7" s="2" t="s">
        <v>337</v>
      </c>
      <c r="D7" s="2" t="s">
        <v>334</v>
      </c>
      <c r="E7" s="48" t="str">
        <f t="shared" si="1"/>
        <v>\photos\MEXIQUE.jpg</v>
      </c>
      <c r="F7" s="2"/>
      <c r="G7" s="2"/>
      <c r="H7" s="2"/>
      <c r="I7" s="2"/>
    </row>
    <row r="8" spans="1:9">
      <c r="A8" s="2" t="str">
        <f t="shared" si="0"/>
        <v>MASCULINESPAGNE A</v>
      </c>
      <c r="B8" s="2" t="s">
        <v>325</v>
      </c>
      <c r="C8" s="2" t="s">
        <v>333</v>
      </c>
      <c r="D8" s="2" t="s">
        <v>349</v>
      </c>
      <c r="E8" s="48" t="str">
        <f t="shared" si="1"/>
        <v>\photos\ESPAGNE.jpg</v>
      </c>
      <c r="F8" s="2"/>
      <c r="G8" s="2"/>
      <c r="H8" s="2"/>
      <c r="I8" s="2"/>
    </row>
    <row r="9" spans="1:9">
      <c r="A9" s="2" t="str">
        <f t="shared" si="0"/>
        <v>MASCULINESPAGNE B</v>
      </c>
      <c r="B9" s="2" t="s">
        <v>325</v>
      </c>
      <c r="C9" s="2" t="s">
        <v>331</v>
      </c>
      <c r="D9" s="2" t="s">
        <v>349</v>
      </c>
      <c r="E9" s="48" t="str">
        <f t="shared" si="1"/>
        <v>\photos\ESPAGNE.jpg</v>
      </c>
      <c r="F9" s="2"/>
      <c r="G9" s="2"/>
      <c r="H9" s="2"/>
      <c r="I9" s="2"/>
    </row>
    <row r="10" spans="1:9">
      <c r="A10" s="2" t="str">
        <f t="shared" si="0"/>
        <v>MASCULINFRANCE A</v>
      </c>
      <c r="B10" s="2" t="s">
        <v>325</v>
      </c>
      <c r="C10" s="2" t="s">
        <v>332</v>
      </c>
      <c r="D10" s="2" t="s">
        <v>350</v>
      </c>
      <c r="E10" s="48" t="str">
        <f t="shared" si="1"/>
        <v>\photos\FRANCE.jpg</v>
      </c>
      <c r="F10" s="2"/>
      <c r="G10" s="2"/>
      <c r="H10" s="2"/>
      <c r="I10" s="2"/>
    </row>
    <row r="11" spans="1:9">
      <c r="A11" s="2" t="str">
        <f t="shared" si="0"/>
        <v>MASCULINFRANCE B</v>
      </c>
      <c r="B11" s="2" t="s">
        <v>325</v>
      </c>
      <c r="C11" s="2" t="s">
        <v>330</v>
      </c>
      <c r="D11" s="2" t="s">
        <v>350</v>
      </c>
      <c r="E11" s="48" t="str">
        <f t="shared" si="1"/>
        <v>\photos\FRANCE.jpg</v>
      </c>
      <c r="F11" s="2"/>
      <c r="G11" s="2"/>
      <c r="H11" s="2"/>
      <c r="I11" s="2"/>
    </row>
    <row r="12" spans="1:9">
      <c r="A12" s="2" t="str">
        <f t="shared" si="0"/>
        <v>MASCULINETATS-UNIS</v>
      </c>
      <c r="B12" s="2" t="s">
        <v>325</v>
      </c>
      <c r="C12" s="2" t="s">
        <v>328</v>
      </c>
      <c r="D12" s="2" t="s">
        <v>328</v>
      </c>
      <c r="E12" s="48" t="str">
        <f t="shared" si="1"/>
        <v>\photos\ETATS-UNIS.jpg</v>
      </c>
      <c r="F12" s="2"/>
      <c r="G12" s="2"/>
      <c r="H12" s="2"/>
      <c r="I12" s="2"/>
    </row>
    <row r="13" spans="1:9">
      <c r="A13" s="2" t="str">
        <f t="shared" si="0"/>
        <v>MASCULINVENEZUELA</v>
      </c>
      <c r="B13" s="2" t="s">
        <v>325</v>
      </c>
      <c r="C13" s="2" t="s">
        <v>329</v>
      </c>
      <c r="D13" s="2" t="s">
        <v>329</v>
      </c>
      <c r="E13" s="48" t="str">
        <f t="shared" si="1"/>
        <v>\photos\VENEZUELA.jpg</v>
      </c>
      <c r="F13" s="2"/>
      <c r="G13" s="2"/>
      <c r="H13" s="2"/>
      <c r="I13" s="2"/>
    </row>
    <row r="14" spans="1:9">
      <c r="A14" s="2" t="str">
        <f t="shared" si="0"/>
        <v>MASCULINMEXIQUE</v>
      </c>
      <c r="B14" s="2" t="s">
        <v>325</v>
      </c>
      <c r="C14" s="2" t="s">
        <v>334</v>
      </c>
      <c r="D14" s="2" t="s">
        <v>334</v>
      </c>
      <c r="E14" s="48" t="str">
        <f t="shared" si="1"/>
        <v>\photos\MEXIQUE.jpg</v>
      </c>
      <c r="F14" s="2"/>
      <c r="G14" s="2"/>
      <c r="H14" s="2"/>
      <c r="I14" s="2"/>
    </row>
    <row r="15" spans="1:9">
      <c r="A15" s="2" t="str">
        <f t="shared" si="0"/>
        <v>MASCULINCUBA</v>
      </c>
      <c r="B15" s="2" t="s">
        <v>325</v>
      </c>
      <c r="C15" s="2" t="s">
        <v>335</v>
      </c>
      <c r="D15" s="2" t="s">
        <v>335</v>
      </c>
      <c r="E15" s="48" t="str">
        <f t="shared" si="1"/>
        <v>\photos\CUBA.jpg</v>
      </c>
      <c r="F15" s="2"/>
      <c r="G15" s="2"/>
      <c r="H15" s="2"/>
      <c r="I15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Journal"/>
  <dimension ref="A1:I77"/>
  <sheetViews>
    <sheetView tabSelected="1" workbookViewId="0">
      <selection activeCell="A10" sqref="A10"/>
    </sheetView>
  </sheetViews>
  <sheetFormatPr baseColWidth="10" defaultRowHeight="15"/>
  <cols>
    <col min="1" max="1" width="56.28515625" style="4" bestFit="1" customWidth="1"/>
    <col min="2" max="8" width="11.42578125" style="4"/>
  </cols>
  <sheetData>
    <row r="1" spans="1:9" s="6" customFormat="1" ht="72">
      <c r="A1" s="7" t="s">
        <v>67</v>
      </c>
      <c r="B1" s="8" t="s">
        <v>19</v>
      </c>
      <c r="C1" s="9" t="s">
        <v>21</v>
      </c>
      <c r="D1" s="9" t="s">
        <v>94</v>
      </c>
      <c r="E1" s="9" t="s">
        <v>95</v>
      </c>
      <c r="F1" s="9" t="s">
        <v>92</v>
      </c>
      <c r="G1" s="9" t="s">
        <v>93</v>
      </c>
      <c r="H1" s="9" t="s">
        <v>96</v>
      </c>
    </row>
    <row r="2" spans="1:9">
      <c r="A2" s="10" t="s">
        <v>240</v>
      </c>
      <c r="B2" s="10">
        <v>44126</v>
      </c>
      <c r="C2" s="11">
        <v>0.85785879629629624</v>
      </c>
      <c r="D2" s="4">
        <v>1</v>
      </c>
      <c r="E2" s="4">
        <v>1</v>
      </c>
      <c r="F2" s="4">
        <v>0</v>
      </c>
      <c r="G2" s="4">
        <v>0</v>
      </c>
      <c r="H2" s="4">
        <v>2</v>
      </c>
      <c r="I2" s="13"/>
    </row>
    <row r="3" spans="1:9">
      <c r="A3" s="10" t="s">
        <v>240</v>
      </c>
      <c r="B3" s="10">
        <v>44126</v>
      </c>
      <c r="C3" s="11">
        <v>0.85785879629629624</v>
      </c>
      <c r="D3" s="4">
        <v>1</v>
      </c>
      <c r="E3" s="4">
        <v>1</v>
      </c>
      <c r="F3" s="4">
        <v>0</v>
      </c>
      <c r="G3" s="4">
        <v>0</v>
      </c>
      <c r="H3" s="4">
        <v>2</v>
      </c>
      <c r="I3" s="13"/>
    </row>
    <row r="4" spans="1:9">
      <c r="A4" s="10" t="s">
        <v>375</v>
      </c>
      <c r="B4" s="10">
        <v>44857</v>
      </c>
      <c r="C4" s="11">
        <v>0.77361111111111114</v>
      </c>
      <c r="D4" s="4">
        <v>1</v>
      </c>
      <c r="E4" s="4">
        <v>1</v>
      </c>
      <c r="F4" s="4">
        <v>0</v>
      </c>
      <c r="G4" s="4">
        <v>0</v>
      </c>
      <c r="H4" s="4">
        <v>1</v>
      </c>
      <c r="I4" s="13"/>
    </row>
    <row r="5" spans="1:9">
      <c r="A5" s="10" t="s">
        <v>375</v>
      </c>
      <c r="B5" s="10">
        <v>44857</v>
      </c>
      <c r="C5" s="11">
        <v>0.77361111111111114</v>
      </c>
      <c r="D5" s="4">
        <v>1</v>
      </c>
      <c r="E5" s="4">
        <v>1</v>
      </c>
      <c r="F5" s="4">
        <v>0</v>
      </c>
      <c r="G5" s="4">
        <v>0</v>
      </c>
      <c r="H5" s="4">
        <v>1</v>
      </c>
      <c r="I5" s="13"/>
    </row>
    <row r="6" spans="1:9">
      <c r="A6" s="10" t="s">
        <v>375</v>
      </c>
      <c r="B6" s="10">
        <v>44857</v>
      </c>
      <c r="C6" s="11">
        <v>0.77959490740740733</v>
      </c>
      <c r="D6" s="4">
        <v>1</v>
      </c>
      <c r="E6" s="4">
        <v>1</v>
      </c>
      <c r="F6" s="4">
        <v>0</v>
      </c>
      <c r="G6" s="4">
        <v>0</v>
      </c>
      <c r="H6" s="4">
        <v>2</v>
      </c>
      <c r="I6" s="13"/>
    </row>
    <row r="7" spans="1:9">
      <c r="A7" s="10" t="s">
        <v>375</v>
      </c>
      <c r="B7" s="10">
        <v>44857</v>
      </c>
      <c r="C7" s="11">
        <v>0.77959490740740733</v>
      </c>
      <c r="D7" s="4">
        <v>1</v>
      </c>
      <c r="E7" s="4">
        <v>1</v>
      </c>
      <c r="F7" s="4">
        <v>0</v>
      </c>
      <c r="G7" s="4">
        <v>0</v>
      </c>
      <c r="H7" s="4">
        <v>2</v>
      </c>
      <c r="I7" s="13"/>
    </row>
    <row r="8" spans="1:9">
      <c r="A8" s="10" t="s">
        <v>375</v>
      </c>
      <c r="B8" s="10">
        <v>44857</v>
      </c>
      <c r="C8" s="11">
        <v>0.78101851851851845</v>
      </c>
      <c r="D8" s="4">
        <v>1</v>
      </c>
      <c r="E8" s="4">
        <v>2</v>
      </c>
      <c r="F8" s="4">
        <v>1</v>
      </c>
      <c r="G8" s="4">
        <v>0</v>
      </c>
      <c r="H8" s="4">
        <v>1</v>
      </c>
      <c r="I8" s="13"/>
    </row>
    <row r="9" spans="1:9">
      <c r="A9" s="10" t="s">
        <v>375</v>
      </c>
      <c r="B9" s="10">
        <v>44857</v>
      </c>
      <c r="C9" s="11">
        <v>0.78190972222222221</v>
      </c>
      <c r="D9" s="4">
        <v>1</v>
      </c>
      <c r="E9" s="4">
        <v>3</v>
      </c>
      <c r="F9" s="4">
        <v>2</v>
      </c>
      <c r="G9" s="4">
        <v>0</v>
      </c>
      <c r="H9" s="4">
        <v>1</v>
      </c>
      <c r="I9" s="13"/>
    </row>
    <row r="10" spans="1:9">
      <c r="A10" s="15" t="s">
        <v>375</v>
      </c>
      <c r="B10" s="10">
        <v>44857</v>
      </c>
      <c r="C10" s="11">
        <v>0.78229166666666661</v>
      </c>
      <c r="D10" s="4">
        <v>1</v>
      </c>
      <c r="E10" s="4">
        <v>4</v>
      </c>
      <c r="F10" s="4">
        <v>3</v>
      </c>
      <c r="G10" s="4">
        <v>0</v>
      </c>
      <c r="H10" s="4">
        <v>1</v>
      </c>
      <c r="I10" s="13"/>
    </row>
    <row r="11" spans="1:9">
      <c r="A11" s="15" t="s">
        <v>375</v>
      </c>
      <c r="B11" s="10">
        <v>44857</v>
      </c>
      <c r="C11" s="11">
        <v>0.78256944444444443</v>
      </c>
      <c r="D11" s="4">
        <v>1</v>
      </c>
      <c r="E11" s="4">
        <v>5</v>
      </c>
      <c r="F11" s="4">
        <v>4</v>
      </c>
      <c r="G11" s="4">
        <v>0</v>
      </c>
      <c r="H11" s="4">
        <v>1</v>
      </c>
      <c r="I11" s="13"/>
    </row>
    <row r="12" spans="1:9">
      <c r="A12" s="15" t="s">
        <v>375</v>
      </c>
      <c r="B12" s="10">
        <v>44857</v>
      </c>
      <c r="C12" s="11">
        <v>0.78289351851851852</v>
      </c>
      <c r="D12" s="4">
        <v>1</v>
      </c>
      <c r="E12" s="4">
        <v>6</v>
      </c>
      <c r="F12" s="4">
        <v>4</v>
      </c>
      <c r="G12" s="4">
        <v>1</v>
      </c>
      <c r="H12" s="4">
        <v>2</v>
      </c>
      <c r="I12" s="13"/>
    </row>
    <row r="13" spans="1:9">
      <c r="A13" s="15" t="s">
        <v>375</v>
      </c>
      <c r="B13" s="10">
        <v>44857</v>
      </c>
      <c r="C13" s="11">
        <v>0.78357638888888881</v>
      </c>
      <c r="D13" s="4">
        <v>1</v>
      </c>
      <c r="E13" s="4">
        <v>7</v>
      </c>
      <c r="F13" s="4">
        <v>5</v>
      </c>
      <c r="G13" s="4">
        <v>1</v>
      </c>
      <c r="H13" s="4">
        <v>1</v>
      </c>
      <c r="I13" s="13"/>
    </row>
    <row r="14" spans="1:9">
      <c r="A14" s="15" t="s">
        <v>375</v>
      </c>
      <c r="B14" s="10">
        <v>44857</v>
      </c>
      <c r="C14" s="11">
        <v>0.78407407407407403</v>
      </c>
      <c r="D14" s="4">
        <v>1</v>
      </c>
      <c r="E14" s="4">
        <v>8</v>
      </c>
      <c r="F14" s="4">
        <v>6</v>
      </c>
      <c r="G14" s="4">
        <v>1</v>
      </c>
      <c r="H14" s="4">
        <v>1</v>
      </c>
      <c r="I14" s="13"/>
    </row>
    <row r="15" spans="1:9">
      <c r="A15" s="15" t="s">
        <v>375</v>
      </c>
      <c r="B15" s="10">
        <v>44857</v>
      </c>
      <c r="C15" s="11">
        <v>0.78453703703703714</v>
      </c>
      <c r="D15" s="4">
        <v>1</v>
      </c>
      <c r="E15" s="4">
        <v>9</v>
      </c>
      <c r="F15" s="4">
        <v>7</v>
      </c>
      <c r="G15" s="4">
        <v>1</v>
      </c>
      <c r="H15" s="4">
        <v>1</v>
      </c>
      <c r="I15" s="13"/>
    </row>
    <row r="16" spans="1:9">
      <c r="A16" s="15" t="s">
        <v>375</v>
      </c>
      <c r="B16" s="10">
        <v>44857</v>
      </c>
      <c r="C16" s="11">
        <v>0.78490740740740739</v>
      </c>
      <c r="D16" s="4">
        <v>1</v>
      </c>
      <c r="E16" s="4">
        <v>10</v>
      </c>
      <c r="F16" s="4">
        <v>7</v>
      </c>
      <c r="G16" s="4">
        <v>2</v>
      </c>
      <c r="H16" s="4">
        <v>2</v>
      </c>
      <c r="I16" s="13"/>
    </row>
    <row r="17" spans="1:9">
      <c r="A17" s="15" t="s">
        <v>375</v>
      </c>
      <c r="B17" s="10">
        <v>44857</v>
      </c>
      <c r="C17" s="11">
        <v>0.78539351851851846</v>
      </c>
      <c r="D17" s="4">
        <v>1</v>
      </c>
      <c r="E17" s="4">
        <v>11</v>
      </c>
      <c r="F17" s="4">
        <v>8</v>
      </c>
      <c r="G17" s="4">
        <v>2</v>
      </c>
      <c r="H17" s="4">
        <v>1</v>
      </c>
      <c r="I17" s="13"/>
    </row>
    <row r="18" spans="1:9">
      <c r="A18" s="15" t="s">
        <v>375</v>
      </c>
      <c r="B18" s="10">
        <v>44857</v>
      </c>
      <c r="C18" s="11">
        <v>0.78644675925925922</v>
      </c>
      <c r="D18" s="4">
        <v>1</v>
      </c>
      <c r="E18" s="4">
        <v>12</v>
      </c>
      <c r="F18" s="4">
        <v>9</v>
      </c>
      <c r="G18" s="4">
        <v>2</v>
      </c>
      <c r="H18" s="4">
        <v>1</v>
      </c>
      <c r="I18" s="13"/>
    </row>
    <row r="19" spans="1:9">
      <c r="A19" s="15" t="s">
        <v>375</v>
      </c>
      <c r="B19" s="10">
        <v>44857</v>
      </c>
      <c r="C19" s="11">
        <v>0.78688657407407403</v>
      </c>
      <c r="D19" s="4">
        <v>1</v>
      </c>
      <c r="E19" s="4">
        <v>13</v>
      </c>
      <c r="F19" s="4">
        <v>9</v>
      </c>
      <c r="G19" s="4">
        <v>3</v>
      </c>
      <c r="H19" s="4">
        <v>2</v>
      </c>
      <c r="I19" s="13"/>
    </row>
    <row r="20" spans="1:9">
      <c r="A20" s="15" t="s">
        <v>375</v>
      </c>
      <c r="B20" s="10">
        <v>44857</v>
      </c>
      <c r="C20" s="11">
        <v>0.78728009259259257</v>
      </c>
      <c r="D20" s="4">
        <v>1</v>
      </c>
      <c r="E20" s="4">
        <v>14</v>
      </c>
      <c r="F20" s="4">
        <v>10</v>
      </c>
      <c r="G20" s="4">
        <v>3</v>
      </c>
      <c r="H20" s="4">
        <v>1</v>
      </c>
      <c r="I20" s="13"/>
    </row>
    <row r="21" spans="1:9">
      <c r="A21" s="15" t="s">
        <v>375</v>
      </c>
      <c r="B21" s="10">
        <v>44857</v>
      </c>
      <c r="C21" s="11">
        <v>0.78796296296296298</v>
      </c>
      <c r="D21" s="4">
        <v>1</v>
      </c>
      <c r="E21" s="4">
        <v>15</v>
      </c>
      <c r="F21" s="4">
        <v>10</v>
      </c>
      <c r="G21" s="4">
        <v>4</v>
      </c>
      <c r="H21" s="4">
        <v>2</v>
      </c>
      <c r="I21" s="13"/>
    </row>
    <row r="22" spans="1:9">
      <c r="A22" s="15" t="s">
        <v>375</v>
      </c>
      <c r="B22" s="10">
        <v>44857</v>
      </c>
      <c r="C22" s="11">
        <v>0.78832175925925929</v>
      </c>
      <c r="D22" s="4">
        <v>1</v>
      </c>
      <c r="E22" s="4">
        <v>16</v>
      </c>
      <c r="F22" s="4">
        <v>10</v>
      </c>
      <c r="G22" s="4">
        <v>5</v>
      </c>
      <c r="H22" s="4">
        <v>2</v>
      </c>
      <c r="I22" s="13"/>
    </row>
    <row r="23" spans="1:9">
      <c r="A23" s="15" t="s">
        <v>375</v>
      </c>
      <c r="B23" s="10">
        <v>44857</v>
      </c>
      <c r="C23" s="11">
        <v>0.7890625</v>
      </c>
      <c r="D23" s="4">
        <v>1</v>
      </c>
      <c r="E23" s="4">
        <v>17</v>
      </c>
      <c r="F23" s="4">
        <v>10</v>
      </c>
      <c r="G23" s="4">
        <v>6</v>
      </c>
      <c r="H23" s="4">
        <v>2</v>
      </c>
      <c r="I23" s="13"/>
    </row>
    <row r="24" spans="1:9">
      <c r="A24" s="15" t="s">
        <v>375</v>
      </c>
      <c r="B24" s="10">
        <v>44857</v>
      </c>
      <c r="C24" s="11">
        <v>0.78945601851851854</v>
      </c>
      <c r="D24" s="4">
        <v>1</v>
      </c>
      <c r="E24" s="4">
        <v>18</v>
      </c>
      <c r="F24" s="4">
        <v>11</v>
      </c>
      <c r="G24" s="4">
        <v>6</v>
      </c>
      <c r="H24" s="4">
        <v>1</v>
      </c>
      <c r="I24" s="13"/>
    </row>
    <row r="25" spans="1:9">
      <c r="A25" s="15" t="s">
        <v>375</v>
      </c>
      <c r="B25" s="10">
        <v>44857</v>
      </c>
      <c r="C25" s="11">
        <v>0.7911689814814814</v>
      </c>
      <c r="D25" s="4">
        <v>1</v>
      </c>
      <c r="E25" s="4">
        <v>19</v>
      </c>
      <c r="F25" s="4">
        <v>11</v>
      </c>
      <c r="G25" s="4">
        <v>7</v>
      </c>
      <c r="H25" s="4">
        <v>2</v>
      </c>
      <c r="I25" s="13"/>
    </row>
    <row r="26" spans="1:9">
      <c r="A26" s="15" t="s">
        <v>375</v>
      </c>
      <c r="B26" s="10">
        <v>44857</v>
      </c>
      <c r="C26" s="11">
        <v>0.79166666666666663</v>
      </c>
      <c r="D26" s="4">
        <v>1</v>
      </c>
      <c r="E26" s="4">
        <v>20</v>
      </c>
      <c r="F26" s="4">
        <v>12</v>
      </c>
      <c r="G26" s="4">
        <v>7</v>
      </c>
      <c r="H26" s="4">
        <v>1</v>
      </c>
      <c r="I26" s="13"/>
    </row>
    <row r="27" spans="1:9">
      <c r="A27" s="15" t="s">
        <v>375</v>
      </c>
      <c r="B27" s="10">
        <v>44857</v>
      </c>
      <c r="C27" s="11">
        <v>0.79229166666666673</v>
      </c>
      <c r="D27" s="4">
        <v>1</v>
      </c>
      <c r="E27" s="4">
        <v>21</v>
      </c>
      <c r="F27" s="4">
        <v>12</v>
      </c>
      <c r="G27" s="4">
        <v>8</v>
      </c>
      <c r="H27" s="4">
        <v>2</v>
      </c>
      <c r="I27" s="13"/>
    </row>
    <row r="28" spans="1:9">
      <c r="A28" s="15" t="s">
        <v>375</v>
      </c>
      <c r="B28" s="10">
        <v>44857</v>
      </c>
      <c r="C28" s="11">
        <v>0.79283564814814822</v>
      </c>
      <c r="D28" s="4">
        <v>1</v>
      </c>
      <c r="E28" s="4">
        <v>22</v>
      </c>
      <c r="F28" s="4">
        <v>12</v>
      </c>
      <c r="G28" s="4">
        <v>9</v>
      </c>
      <c r="H28" s="4">
        <v>2</v>
      </c>
      <c r="I28" s="13"/>
    </row>
    <row r="29" spans="1:9">
      <c r="A29" s="15" t="s">
        <v>375</v>
      </c>
      <c r="B29" s="10">
        <v>44857</v>
      </c>
      <c r="C29" s="11">
        <v>0.79348379629629628</v>
      </c>
      <c r="D29" s="4">
        <v>1</v>
      </c>
      <c r="E29" s="4">
        <v>23</v>
      </c>
      <c r="F29" s="4">
        <v>12</v>
      </c>
      <c r="G29" s="4">
        <v>10</v>
      </c>
      <c r="H29" s="4">
        <v>2</v>
      </c>
      <c r="I29" s="13"/>
    </row>
    <row r="30" spans="1:9">
      <c r="A30" s="15" t="s">
        <v>375</v>
      </c>
      <c r="B30" s="10">
        <v>44857</v>
      </c>
      <c r="C30" s="11">
        <v>0.79399305555555555</v>
      </c>
      <c r="D30" s="4">
        <v>1</v>
      </c>
      <c r="E30" s="4">
        <v>24</v>
      </c>
      <c r="F30" s="4">
        <v>13</v>
      </c>
      <c r="G30" s="4">
        <v>10</v>
      </c>
      <c r="H30" s="4">
        <v>1</v>
      </c>
      <c r="I30" s="13"/>
    </row>
    <row r="31" spans="1:9">
      <c r="A31" s="15" t="s">
        <v>375</v>
      </c>
      <c r="B31" s="10">
        <v>44857</v>
      </c>
      <c r="C31" s="11">
        <v>0.79440972222222228</v>
      </c>
      <c r="D31" s="4">
        <v>1</v>
      </c>
      <c r="E31" s="4">
        <v>25</v>
      </c>
      <c r="F31" s="4">
        <v>13</v>
      </c>
      <c r="G31" s="4">
        <v>11</v>
      </c>
      <c r="H31" s="4">
        <v>2</v>
      </c>
      <c r="I31" s="13"/>
    </row>
    <row r="32" spans="1:9">
      <c r="A32" s="15" t="s">
        <v>375</v>
      </c>
      <c r="B32" s="10">
        <v>44857</v>
      </c>
      <c r="C32" s="11">
        <v>0.79493055555555558</v>
      </c>
      <c r="D32" s="4">
        <v>1</v>
      </c>
      <c r="E32" s="4">
        <v>26</v>
      </c>
      <c r="F32" s="4">
        <v>13</v>
      </c>
      <c r="G32" s="4">
        <v>12</v>
      </c>
      <c r="H32" s="4">
        <v>2</v>
      </c>
      <c r="I32" s="13"/>
    </row>
    <row r="33" spans="1:9">
      <c r="A33" s="15" t="s">
        <v>375</v>
      </c>
      <c r="B33" s="10">
        <v>44857</v>
      </c>
      <c r="C33" s="11">
        <v>0.7961921296296296</v>
      </c>
      <c r="D33" s="4">
        <v>1</v>
      </c>
      <c r="E33" s="4">
        <v>27</v>
      </c>
      <c r="F33" s="4">
        <v>14</v>
      </c>
      <c r="G33" s="4">
        <v>12</v>
      </c>
      <c r="H33" s="4">
        <v>1</v>
      </c>
      <c r="I33" s="13"/>
    </row>
    <row r="34" spans="1:9">
      <c r="A34" s="15" t="s">
        <v>375</v>
      </c>
      <c r="B34" s="10">
        <v>44857</v>
      </c>
      <c r="C34" s="11">
        <v>0.7965740740740741</v>
      </c>
      <c r="D34" s="4">
        <v>1</v>
      </c>
      <c r="E34" s="4">
        <v>28</v>
      </c>
      <c r="F34" s="4">
        <v>15</v>
      </c>
      <c r="G34" s="4">
        <v>12</v>
      </c>
      <c r="H34" s="4">
        <v>1</v>
      </c>
      <c r="I34" s="13"/>
    </row>
    <row r="35" spans="1:9">
      <c r="A35" s="15" t="s">
        <v>375</v>
      </c>
      <c r="B35" s="10">
        <v>44857</v>
      </c>
      <c r="C35" s="11">
        <v>0.79826388888888899</v>
      </c>
      <c r="D35" s="4">
        <v>2</v>
      </c>
      <c r="E35" s="4">
        <v>29</v>
      </c>
      <c r="F35" s="4">
        <v>1</v>
      </c>
      <c r="G35" s="4">
        <v>0</v>
      </c>
      <c r="H35" s="4">
        <v>1</v>
      </c>
      <c r="I35" s="13"/>
    </row>
    <row r="36" spans="1:9">
      <c r="A36" s="15" t="s">
        <v>375</v>
      </c>
      <c r="B36" s="10">
        <v>44857</v>
      </c>
      <c r="C36" s="11">
        <v>0.79866898148148147</v>
      </c>
      <c r="D36" s="4">
        <v>2</v>
      </c>
      <c r="E36" s="4">
        <v>30</v>
      </c>
      <c r="F36" s="4">
        <v>1</v>
      </c>
      <c r="G36" s="4">
        <v>1</v>
      </c>
      <c r="H36" s="4">
        <v>2</v>
      </c>
      <c r="I36" s="13"/>
    </row>
    <row r="37" spans="1:9">
      <c r="A37" s="15" t="s">
        <v>375</v>
      </c>
      <c r="B37" s="10">
        <v>44857</v>
      </c>
      <c r="C37" s="11">
        <v>0.79939814814814814</v>
      </c>
      <c r="D37" s="4">
        <v>2</v>
      </c>
      <c r="E37" s="4">
        <v>31</v>
      </c>
      <c r="F37" s="4">
        <v>2</v>
      </c>
      <c r="G37" s="4">
        <v>1</v>
      </c>
      <c r="H37" s="4">
        <v>1</v>
      </c>
      <c r="I37" s="13"/>
    </row>
    <row r="38" spans="1:9">
      <c r="A38" s="15" t="s">
        <v>375</v>
      </c>
      <c r="B38" s="10">
        <v>44857</v>
      </c>
      <c r="C38" s="11">
        <v>0.79986111111111102</v>
      </c>
      <c r="D38" s="4">
        <v>2</v>
      </c>
      <c r="E38" s="4">
        <v>32</v>
      </c>
      <c r="F38" s="4">
        <v>3</v>
      </c>
      <c r="G38" s="4">
        <v>1</v>
      </c>
      <c r="H38" s="4">
        <v>1</v>
      </c>
      <c r="I38" s="13"/>
    </row>
    <row r="39" spans="1:9">
      <c r="A39" s="15" t="s">
        <v>375</v>
      </c>
      <c r="B39" s="10">
        <v>44857</v>
      </c>
      <c r="C39" s="11">
        <v>0.80027777777777775</v>
      </c>
      <c r="D39" s="4">
        <v>2</v>
      </c>
      <c r="E39" s="4">
        <v>33</v>
      </c>
      <c r="F39" s="4">
        <v>4</v>
      </c>
      <c r="G39" s="4">
        <v>1</v>
      </c>
      <c r="H39" s="4">
        <v>1</v>
      </c>
      <c r="I39" s="13"/>
    </row>
    <row r="40" spans="1:9">
      <c r="A40" s="15" t="s">
        <v>375</v>
      </c>
      <c r="B40" s="10">
        <v>44857</v>
      </c>
      <c r="C40" s="11">
        <v>0.80072916666666671</v>
      </c>
      <c r="D40" s="4">
        <v>2</v>
      </c>
      <c r="E40" s="4">
        <v>34</v>
      </c>
      <c r="F40" s="4">
        <v>5</v>
      </c>
      <c r="G40" s="4">
        <v>1</v>
      </c>
      <c r="H40" s="4">
        <v>1</v>
      </c>
      <c r="I40" s="13"/>
    </row>
    <row r="41" spans="1:9">
      <c r="A41" s="15" t="s">
        <v>375</v>
      </c>
      <c r="B41" s="10">
        <v>44857</v>
      </c>
      <c r="C41" s="11">
        <v>0.80138888888888893</v>
      </c>
      <c r="D41" s="4">
        <v>2</v>
      </c>
      <c r="E41" s="4">
        <v>35</v>
      </c>
      <c r="F41" s="4">
        <v>6</v>
      </c>
      <c r="G41" s="4">
        <v>1</v>
      </c>
      <c r="H41" s="4">
        <v>1</v>
      </c>
      <c r="I41" s="13"/>
    </row>
    <row r="42" spans="1:9">
      <c r="A42" s="15" t="s">
        <v>375</v>
      </c>
      <c r="B42" s="10">
        <v>44857</v>
      </c>
      <c r="C42" s="11">
        <v>0.80175925925925917</v>
      </c>
      <c r="D42" s="4">
        <v>2</v>
      </c>
      <c r="E42" s="4">
        <v>36</v>
      </c>
      <c r="F42" s="4">
        <v>6</v>
      </c>
      <c r="G42" s="4">
        <v>2</v>
      </c>
      <c r="H42" s="4">
        <v>2</v>
      </c>
      <c r="I42" s="13"/>
    </row>
    <row r="43" spans="1:9">
      <c r="A43" s="15" t="s">
        <v>375</v>
      </c>
      <c r="B43" s="10">
        <v>44857</v>
      </c>
      <c r="C43" s="11">
        <v>0.80243055555555554</v>
      </c>
      <c r="D43" s="4">
        <v>2</v>
      </c>
      <c r="E43" s="4">
        <v>37</v>
      </c>
      <c r="F43" s="4">
        <v>6</v>
      </c>
      <c r="G43" s="4">
        <v>3</v>
      </c>
      <c r="H43" s="4">
        <v>2</v>
      </c>
      <c r="I43" s="13"/>
    </row>
    <row r="44" spans="1:9">
      <c r="A44" s="15" t="s">
        <v>375</v>
      </c>
      <c r="B44" s="10">
        <v>44857</v>
      </c>
      <c r="C44" s="11">
        <v>0.80302083333333341</v>
      </c>
      <c r="D44" s="4">
        <v>2</v>
      </c>
      <c r="E44" s="4">
        <v>38</v>
      </c>
      <c r="F44" s="4">
        <v>7</v>
      </c>
      <c r="G44" s="4">
        <v>3</v>
      </c>
      <c r="H44" s="4">
        <v>1</v>
      </c>
      <c r="I44" s="13"/>
    </row>
    <row r="45" spans="1:9">
      <c r="A45" s="15" t="s">
        <v>375</v>
      </c>
      <c r="B45" s="10">
        <v>44857</v>
      </c>
      <c r="C45" s="11">
        <v>0.80351851851851841</v>
      </c>
      <c r="D45" s="4">
        <v>2</v>
      </c>
      <c r="E45" s="4">
        <v>39</v>
      </c>
      <c r="F45" s="4">
        <v>8</v>
      </c>
      <c r="G45" s="4">
        <v>3</v>
      </c>
      <c r="H45" s="4">
        <v>1</v>
      </c>
      <c r="I45" s="13"/>
    </row>
    <row r="46" spans="1:9">
      <c r="A46" s="15" t="s">
        <v>375</v>
      </c>
      <c r="B46" s="10">
        <v>44857</v>
      </c>
      <c r="C46" s="11">
        <v>0.80401620370370364</v>
      </c>
      <c r="D46" s="4">
        <v>2</v>
      </c>
      <c r="E46" s="4">
        <v>40</v>
      </c>
      <c r="F46" s="4">
        <v>9</v>
      </c>
      <c r="G46" s="4">
        <v>3</v>
      </c>
      <c r="H46" s="4">
        <v>1</v>
      </c>
      <c r="I46" s="13"/>
    </row>
    <row r="47" spans="1:9">
      <c r="A47" s="15" t="s">
        <v>375</v>
      </c>
      <c r="B47" s="10">
        <v>44857</v>
      </c>
      <c r="C47" s="11">
        <v>0.80430555555555561</v>
      </c>
      <c r="D47" s="4">
        <v>2</v>
      </c>
      <c r="E47" s="4">
        <v>41</v>
      </c>
      <c r="F47" s="4">
        <v>10</v>
      </c>
      <c r="G47" s="4">
        <v>3</v>
      </c>
      <c r="H47" s="4">
        <v>1</v>
      </c>
      <c r="I47" s="13"/>
    </row>
    <row r="48" spans="1:9">
      <c r="A48" s="15" t="s">
        <v>375</v>
      </c>
      <c r="B48" s="10">
        <v>44857</v>
      </c>
      <c r="C48" s="11">
        <v>0.80458333333333332</v>
      </c>
      <c r="D48" s="4">
        <v>2</v>
      </c>
      <c r="E48" s="4">
        <v>42</v>
      </c>
      <c r="F48" s="4">
        <v>11</v>
      </c>
      <c r="G48" s="4">
        <v>3</v>
      </c>
      <c r="H48" s="4">
        <v>1</v>
      </c>
      <c r="I48" s="13"/>
    </row>
    <row r="49" spans="1:9">
      <c r="A49" s="15" t="s">
        <v>375</v>
      </c>
      <c r="B49" s="10">
        <v>44857</v>
      </c>
      <c r="C49" s="11">
        <v>0.80596064814814816</v>
      </c>
      <c r="D49" s="4">
        <v>2</v>
      </c>
      <c r="E49" s="4">
        <v>43</v>
      </c>
      <c r="F49" s="4">
        <v>12</v>
      </c>
      <c r="G49" s="4">
        <v>3</v>
      </c>
      <c r="H49" s="4">
        <v>1</v>
      </c>
      <c r="I49" s="13"/>
    </row>
    <row r="50" spans="1:9">
      <c r="A50" s="15" t="s">
        <v>375</v>
      </c>
      <c r="B50" s="10">
        <v>44857</v>
      </c>
      <c r="C50" s="11">
        <v>0.80643518518518509</v>
      </c>
      <c r="D50" s="4">
        <v>2</v>
      </c>
      <c r="E50" s="4">
        <v>44</v>
      </c>
      <c r="F50" s="4">
        <v>13</v>
      </c>
      <c r="G50" s="4">
        <v>3</v>
      </c>
      <c r="H50" s="4">
        <v>1</v>
      </c>
      <c r="I50" s="13"/>
    </row>
    <row r="51" spans="1:9">
      <c r="A51" s="15" t="s">
        <v>375</v>
      </c>
      <c r="B51" s="10">
        <v>44857</v>
      </c>
      <c r="C51" s="11">
        <v>0.80692129629629628</v>
      </c>
      <c r="D51" s="4">
        <v>2</v>
      </c>
      <c r="E51" s="4">
        <v>45</v>
      </c>
      <c r="F51" s="4">
        <v>13</v>
      </c>
      <c r="G51" s="4">
        <v>4</v>
      </c>
      <c r="H51" s="4">
        <v>2</v>
      </c>
      <c r="I51" s="13"/>
    </row>
    <row r="52" spans="1:9">
      <c r="A52" s="15" t="s">
        <v>375</v>
      </c>
      <c r="B52" s="10">
        <v>44857</v>
      </c>
      <c r="C52" s="11">
        <v>0.80736111111111108</v>
      </c>
      <c r="D52" s="4">
        <v>2</v>
      </c>
      <c r="E52" s="4">
        <v>46</v>
      </c>
      <c r="F52" s="4">
        <v>13</v>
      </c>
      <c r="G52" s="4">
        <v>5</v>
      </c>
      <c r="H52" s="4">
        <v>2</v>
      </c>
      <c r="I52" s="13"/>
    </row>
    <row r="53" spans="1:9">
      <c r="A53" s="15" t="s">
        <v>375</v>
      </c>
      <c r="B53" s="10">
        <v>44857</v>
      </c>
      <c r="C53" s="11">
        <v>0.80780092592592589</v>
      </c>
      <c r="D53" s="4">
        <v>2</v>
      </c>
      <c r="E53" s="4">
        <v>47</v>
      </c>
      <c r="F53" s="4">
        <v>13</v>
      </c>
      <c r="G53" s="4">
        <v>6</v>
      </c>
      <c r="H53" s="4">
        <v>2</v>
      </c>
      <c r="I53" s="13"/>
    </row>
    <row r="54" spans="1:9">
      <c r="A54" s="15" t="s">
        <v>375</v>
      </c>
      <c r="B54" s="10">
        <v>44857</v>
      </c>
      <c r="C54" s="11">
        <v>0.80835648148148154</v>
      </c>
      <c r="D54" s="4">
        <v>2</v>
      </c>
      <c r="E54" s="4">
        <v>48</v>
      </c>
      <c r="F54" s="4">
        <v>14</v>
      </c>
      <c r="G54" s="4">
        <v>6</v>
      </c>
      <c r="H54" s="4">
        <v>1</v>
      </c>
      <c r="I54" s="13"/>
    </row>
    <row r="55" spans="1:9">
      <c r="A55" s="15" t="s">
        <v>375</v>
      </c>
      <c r="B55" s="10">
        <v>44857</v>
      </c>
      <c r="C55" s="11">
        <v>0.80896990740740737</v>
      </c>
      <c r="D55" s="4">
        <v>2</v>
      </c>
      <c r="E55" s="4">
        <v>49</v>
      </c>
      <c r="F55" s="4">
        <v>15</v>
      </c>
      <c r="G55" s="4">
        <v>6</v>
      </c>
      <c r="H55" s="4">
        <v>1</v>
      </c>
      <c r="I55" s="13"/>
    </row>
    <row r="56" spans="1:9">
      <c r="A56" s="15" t="s">
        <v>376</v>
      </c>
      <c r="B56" s="10">
        <v>44857</v>
      </c>
      <c r="C56" s="11">
        <v>0.81</v>
      </c>
      <c r="D56" s="4">
        <v>1</v>
      </c>
      <c r="E56" s="4">
        <v>1</v>
      </c>
      <c r="F56" s="4">
        <v>0</v>
      </c>
      <c r="G56" s="4">
        <v>0</v>
      </c>
      <c r="H56" s="4">
        <v>1</v>
      </c>
      <c r="I56" s="13"/>
    </row>
    <row r="57" spans="1:9">
      <c r="A57" s="15" t="s">
        <v>376</v>
      </c>
      <c r="B57" s="10">
        <v>44857</v>
      </c>
      <c r="C57" s="11">
        <v>0.81</v>
      </c>
      <c r="D57" s="4">
        <v>1</v>
      </c>
      <c r="E57" s="4">
        <v>1</v>
      </c>
      <c r="F57" s="4">
        <v>0</v>
      </c>
      <c r="G57" s="4">
        <v>0</v>
      </c>
      <c r="H57" s="4">
        <v>1</v>
      </c>
      <c r="I57" s="13"/>
    </row>
    <row r="58" spans="1:9">
      <c r="A58" s="15" t="s">
        <v>376</v>
      </c>
      <c r="B58" s="10">
        <v>44857</v>
      </c>
      <c r="C58" s="11">
        <v>0.81060185185185185</v>
      </c>
      <c r="D58" s="4">
        <v>1</v>
      </c>
      <c r="E58" s="4">
        <v>1</v>
      </c>
      <c r="F58" s="4">
        <v>0</v>
      </c>
      <c r="G58" s="4">
        <v>0</v>
      </c>
      <c r="H58" s="4">
        <v>1</v>
      </c>
      <c r="I58" s="13"/>
    </row>
    <row r="59" spans="1:9">
      <c r="A59" s="15" t="s">
        <v>376</v>
      </c>
      <c r="B59" s="10">
        <v>44857</v>
      </c>
      <c r="C59" s="11">
        <v>0.810613425925926</v>
      </c>
      <c r="D59" s="4">
        <v>1</v>
      </c>
      <c r="E59" s="4">
        <v>1</v>
      </c>
      <c r="F59" s="4">
        <v>0</v>
      </c>
      <c r="G59" s="4">
        <v>0</v>
      </c>
      <c r="H59" s="4">
        <v>1</v>
      </c>
      <c r="I59" s="13"/>
    </row>
    <row r="60" spans="1:9">
      <c r="A60" s="15" t="s">
        <v>377</v>
      </c>
      <c r="B60" s="10">
        <v>44857</v>
      </c>
      <c r="C60" s="11">
        <v>0.81251157407407415</v>
      </c>
      <c r="D60" s="4">
        <v>1</v>
      </c>
      <c r="E60" s="4">
        <v>1</v>
      </c>
      <c r="F60" s="4">
        <v>0</v>
      </c>
      <c r="G60" s="4">
        <v>0</v>
      </c>
      <c r="H60" s="4">
        <v>1</v>
      </c>
      <c r="I60" s="13"/>
    </row>
    <row r="61" spans="1:9">
      <c r="A61" s="15" t="s">
        <v>377</v>
      </c>
      <c r="B61" s="10">
        <v>44857</v>
      </c>
      <c r="C61" s="11">
        <v>0.81252314814814808</v>
      </c>
      <c r="D61" s="4">
        <v>1</v>
      </c>
      <c r="E61" s="4">
        <v>1</v>
      </c>
      <c r="F61" s="4">
        <v>0</v>
      </c>
      <c r="G61" s="4">
        <v>0</v>
      </c>
      <c r="H61" s="4">
        <v>1</v>
      </c>
      <c r="I61" s="13"/>
    </row>
    <row r="62" spans="1:9">
      <c r="A62" s="15" t="s">
        <v>377</v>
      </c>
      <c r="B62" s="10">
        <v>44857</v>
      </c>
      <c r="C62" s="11">
        <v>0.81258101851851849</v>
      </c>
      <c r="D62" s="4">
        <v>1</v>
      </c>
      <c r="E62" s="4">
        <v>2</v>
      </c>
      <c r="F62" s="4">
        <v>1</v>
      </c>
      <c r="G62" s="4">
        <v>0</v>
      </c>
      <c r="H62" s="4">
        <v>1</v>
      </c>
      <c r="I62" s="13"/>
    </row>
    <row r="63" spans="1:9">
      <c r="A63" s="15" t="s">
        <v>377</v>
      </c>
      <c r="B63" s="10">
        <v>44857</v>
      </c>
      <c r="C63" s="11">
        <v>0.81259259259259264</v>
      </c>
      <c r="D63" s="4">
        <v>1</v>
      </c>
      <c r="E63" s="4">
        <v>3</v>
      </c>
      <c r="F63" s="4">
        <v>1</v>
      </c>
      <c r="G63" s="4">
        <v>1</v>
      </c>
      <c r="H63" s="4">
        <v>2</v>
      </c>
      <c r="I63" s="13"/>
    </row>
    <row r="64" spans="1:9">
      <c r="A64" s="15" t="s">
        <v>377</v>
      </c>
      <c r="B64" s="10">
        <v>44857</v>
      </c>
      <c r="C64" s="11">
        <v>0.81260416666666668</v>
      </c>
      <c r="D64" s="4">
        <v>1</v>
      </c>
      <c r="E64" s="4">
        <v>4</v>
      </c>
      <c r="F64" s="4">
        <v>2</v>
      </c>
      <c r="G64" s="4">
        <v>1</v>
      </c>
      <c r="H64" s="4">
        <v>1</v>
      </c>
      <c r="I64" s="13"/>
    </row>
    <row r="65" spans="1:9">
      <c r="A65" s="15" t="s">
        <v>377</v>
      </c>
      <c r="B65" s="10">
        <v>44857</v>
      </c>
      <c r="C65" s="11">
        <v>0.81261574074074072</v>
      </c>
      <c r="D65" s="4">
        <v>1</v>
      </c>
      <c r="E65" s="4">
        <v>5</v>
      </c>
      <c r="F65" s="4">
        <v>2</v>
      </c>
      <c r="G65" s="4">
        <v>2</v>
      </c>
      <c r="H65" s="4">
        <v>2</v>
      </c>
      <c r="I65" s="13"/>
    </row>
    <row r="66" spans="1:9">
      <c r="A66" s="15" t="s">
        <v>377</v>
      </c>
      <c r="B66" s="10">
        <v>44857</v>
      </c>
      <c r="C66" s="11">
        <v>0.81392361111111111</v>
      </c>
      <c r="D66" s="4">
        <v>1</v>
      </c>
      <c r="E66" s="4">
        <v>1</v>
      </c>
      <c r="F66" s="4">
        <v>0</v>
      </c>
      <c r="G66" s="4">
        <v>0</v>
      </c>
      <c r="H66" s="4">
        <v>1</v>
      </c>
      <c r="I66" s="13"/>
    </row>
    <row r="67" spans="1:9">
      <c r="A67" s="15" t="s">
        <v>377</v>
      </c>
      <c r="B67" s="10">
        <v>44857</v>
      </c>
      <c r="C67" s="11">
        <v>0.81392361111111111</v>
      </c>
      <c r="D67" s="4">
        <v>1</v>
      </c>
      <c r="E67" s="4">
        <v>1</v>
      </c>
      <c r="F67" s="4">
        <v>0</v>
      </c>
      <c r="G67" s="4">
        <v>0</v>
      </c>
      <c r="H67" s="4">
        <v>1</v>
      </c>
      <c r="I67" s="13"/>
    </row>
    <row r="68" spans="1:9">
      <c r="A68" s="15" t="s">
        <v>377</v>
      </c>
      <c r="B68" s="10">
        <v>44857</v>
      </c>
      <c r="C68" s="11">
        <v>0.81394675925925919</v>
      </c>
      <c r="D68" s="4">
        <v>1</v>
      </c>
      <c r="E68" s="4">
        <v>2</v>
      </c>
      <c r="F68" s="4">
        <v>1</v>
      </c>
      <c r="G68" s="4">
        <v>0</v>
      </c>
      <c r="H68" s="4">
        <v>1</v>
      </c>
      <c r="I68" s="13"/>
    </row>
    <row r="69" spans="1:9">
      <c r="A69" s="15" t="s">
        <v>377</v>
      </c>
      <c r="B69" s="10">
        <v>44857</v>
      </c>
      <c r="C69" s="11">
        <v>0.81394675925925919</v>
      </c>
      <c r="D69" s="4">
        <v>1</v>
      </c>
      <c r="E69" s="4">
        <v>3</v>
      </c>
      <c r="F69" s="4">
        <v>1</v>
      </c>
      <c r="G69" s="4">
        <v>1</v>
      </c>
      <c r="H69" s="4">
        <v>2</v>
      </c>
      <c r="I69" s="13"/>
    </row>
    <row r="70" spans="1:9">
      <c r="A70" s="15" t="s">
        <v>377</v>
      </c>
      <c r="B70" s="10">
        <v>44857</v>
      </c>
      <c r="C70" s="11">
        <v>0.81395833333333334</v>
      </c>
      <c r="D70" s="4">
        <v>1</v>
      </c>
      <c r="E70" s="4">
        <v>4</v>
      </c>
      <c r="F70" s="4">
        <v>2</v>
      </c>
      <c r="G70" s="4">
        <v>1</v>
      </c>
      <c r="H70" s="4">
        <v>1</v>
      </c>
      <c r="I70" s="13"/>
    </row>
    <row r="71" spans="1:9">
      <c r="A71" s="15" t="s">
        <v>377</v>
      </c>
      <c r="B71" s="10">
        <v>44857</v>
      </c>
      <c r="C71" s="11">
        <v>0.81396990740740749</v>
      </c>
      <c r="D71" s="4">
        <v>1</v>
      </c>
      <c r="E71" s="4">
        <v>5</v>
      </c>
      <c r="F71" s="4">
        <v>2</v>
      </c>
      <c r="G71" s="4">
        <v>2</v>
      </c>
      <c r="H71" s="4">
        <v>2</v>
      </c>
      <c r="I71" s="13"/>
    </row>
    <row r="72" spans="1:9">
      <c r="I72" s="13"/>
    </row>
    <row r="73" spans="1:9">
      <c r="I73" s="13"/>
    </row>
    <row r="74" spans="1:9">
      <c r="I74" s="13"/>
    </row>
    <row r="75" spans="1:9">
      <c r="I75" s="13"/>
    </row>
    <row r="76" spans="1:9">
      <c r="I76" s="13"/>
    </row>
    <row r="77" spans="1:9">
      <c r="I77" s="1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FStatistiques"/>
  <dimension ref="A1:P54"/>
  <sheetViews>
    <sheetView workbookViewId="0">
      <selection activeCell="C60" sqref="C60"/>
    </sheetView>
  </sheetViews>
  <sheetFormatPr baseColWidth="10" defaultRowHeight="15"/>
  <cols>
    <col min="1" max="1" width="15.7109375" style="17" bestFit="1" customWidth="1"/>
    <col min="2" max="3" width="13.42578125" style="4" customWidth="1"/>
    <col min="4" max="4" width="20" style="15" bestFit="1" customWidth="1"/>
    <col min="5" max="8" width="13.42578125" style="15" customWidth="1"/>
    <col min="9" max="9" width="19.28515625" style="15" bestFit="1" customWidth="1"/>
    <col min="10" max="10" width="13.42578125" style="4" customWidth="1"/>
    <col min="11" max="11" width="26.42578125" style="18" bestFit="1" customWidth="1"/>
    <col min="12" max="12" width="13.42578125" style="19" bestFit="1" customWidth="1"/>
    <col min="13" max="13" width="13.42578125" style="15" bestFit="1" customWidth="1"/>
    <col min="14" max="14" width="11.42578125" style="15"/>
    <col min="15" max="15" width="13.42578125" style="15" bestFit="1" customWidth="1"/>
    <col min="16" max="16" width="13.5703125" style="15" bestFit="1" customWidth="1"/>
  </cols>
  <sheetData>
    <row r="1" spans="1:16">
      <c r="A1" s="17" t="s">
        <v>68</v>
      </c>
      <c r="B1" s="4" t="s">
        <v>97</v>
      </c>
      <c r="C1" s="4" t="s">
        <v>98</v>
      </c>
      <c r="D1" s="15" t="s">
        <v>103</v>
      </c>
      <c r="E1" s="15" t="s">
        <v>99</v>
      </c>
      <c r="F1" s="15" t="s">
        <v>100</v>
      </c>
      <c r="G1" s="15" t="s">
        <v>101</v>
      </c>
      <c r="H1" s="15" t="s">
        <v>102</v>
      </c>
      <c r="I1" s="15" t="s">
        <v>98</v>
      </c>
      <c r="J1" s="4" t="s">
        <v>114</v>
      </c>
      <c r="L1" s="19" t="s">
        <v>197</v>
      </c>
      <c r="M1" s="15">
        <v>1</v>
      </c>
      <c r="N1" s="15">
        <v>2</v>
      </c>
      <c r="O1" s="15">
        <v>3</v>
      </c>
      <c r="P1" s="15">
        <v>4</v>
      </c>
    </row>
    <row r="2" spans="1:16">
      <c r="A2" s="17">
        <v>0.90503472222222225</v>
      </c>
      <c r="B2" s="4">
        <v>1</v>
      </c>
      <c r="C2" s="4">
        <v>1</v>
      </c>
      <c r="D2" s="17" t="s">
        <v>157</v>
      </c>
      <c r="G2" s="15">
        <v>1</v>
      </c>
      <c r="I2" s="15" t="s">
        <v>128</v>
      </c>
      <c r="J2" s="17">
        <f>A3-A2</f>
        <v>5.2083333333330373E-4</v>
      </c>
      <c r="K2" s="18" t="s">
        <v>160</v>
      </c>
      <c r="L2" s="19">
        <f>LEN(K2)</f>
        <v>6</v>
      </c>
      <c r="M2" s="19">
        <f>SUMPRODUCT((LEN($K2)-LEN(SUBSTITUTE($K2,M$1,""))))</f>
        <v>3</v>
      </c>
      <c r="N2" s="19">
        <f t="shared" ref="N2:P2" si="0">SUMPRODUCT((LEN($K2)-LEN(SUBSTITUTE($K2,N$1,""))))</f>
        <v>0</v>
      </c>
      <c r="O2" s="19">
        <f t="shared" si="0"/>
        <v>3</v>
      </c>
      <c r="P2" s="19">
        <f t="shared" si="0"/>
        <v>0</v>
      </c>
    </row>
    <row r="3" spans="1:16">
      <c r="A3" s="17">
        <v>0.90555555555555556</v>
      </c>
      <c r="B3" s="4">
        <v>1</v>
      </c>
      <c r="C3" s="4">
        <v>2</v>
      </c>
      <c r="D3" s="17" t="s">
        <v>158</v>
      </c>
      <c r="F3" s="15">
        <v>-1</v>
      </c>
      <c r="J3" s="17">
        <f t="shared" ref="J3:J51" si="1">A4-A3</f>
        <v>4.861111111111871E-4</v>
      </c>
      <c r="K3" s="18" t="s">
        <v>161</v>
      </c>
      <c r="L3" s="19">
        <f t="shared" ref="L3:L51" si="2">LEN(K3)</f>
        <v>6</v>
      </c>
      <c r="M3" s="19">
        <f t="shared" ref="M3:P18" si="3">SUMPRODUCT((LEN($K3)-LEN(SUBSTITUTE($K3,M$1,""))))</f>
        <v>0</v>
      </c>
      <c r="N3" s="19">
        <f t="shared" si="3"/>
        <v>3</v>
      </c>
      <c r="O3" s="19">
        <f t="shared" si="3"/>
        <v>2</v>
      </c>
      <c r="P3" s="19">
        <f t="shared" si="3"/>
        <v>1</v>
      </c>
    </row>
    <row r="4" spans="1:16">
      <c r="A4" s="17">
        <v>0.90604166666666675</v>
      </c>
      <c r="B4" s="4">
        <v>1</v>
      </c>
      <c r="C4" s="4">
        <v>3</v>
      </c>
      <c r="D4" s="17" t="s">
        <v>159</v>
      </c>
      <c r="F4" s="15">
        <v>-1</v>
      </c>
      <c r="J4" s="17">
        <f t="shared" si="1"/>
        <v>7.8703703703697503E-4</v>
      </c>
      <c r="K4" s="18" t="s">
        <v>105</v>
      </c>
      <c r="L4" s="19">
        <f t="shared" si="2"/>
        <v>12</v>
      </c>
      <c r="M4" s="19">
        <f t="shared" si="3"/>
        <v>1</v>
      </c>
      <c r="N4" s="19">
        <f t="shared" si="3"/>
        <v>5</v>
      </c>
      <c r="O4" s="19">
        <f t="shared" si="3"/>
        <v>4</v>
      </c>
      <c r="P4" s="19">
        <f t="shared" si="3"/>
        <v>2</v>
      </c>
    </row>
    <row r="5" spans="1:16">
      <c r="A5" s="17">
        <v>0.90682870370370372</v>
      </c>
      <c r="B5" s="4">
        <v>1</v>
      </c>
      <c r="C5" s="4">
        <v>4</v>
      </c>
      <c r="D5" s="15" t="s">
        <v>104</v>
      </c>
      <c r="G5" s="15">
        <v>-1</v>
      </c>
      <c r="J5" s="17">
        <f t="shared" si="1"/>
        <v>1.3541666666666563E-3</v>
      </c>
      <c r="K5" s="18" t="s">
        <v>162</v>
      </c>
      <c r="L5" s="19">
        <f t="shared" si="2"/>
        <v>25</v>
      </c>
      <c r="M5" s="19">
        <f t="shared" si="3"/>
        <v>3</v>
      </c>
      <c r="N5" s="19">
        <f t="shared" si="3"/>
        <v>9</v>
      </c>
      <c r="O5" s="19">
        <f t="shared" si="3"/>
        <v>10</v>
      </c>
      <c r="P5" s="19">
        <f t="shared" si="3"/>
        <v>3</v>
      </c>
    </row>
    <row r="6" spans="1:16">
      <c r="A6" s="17">
        <v>0.90818287037037038</v>
      </c>
      <c r="B6" s="4">
        <v>1</v>
      </c>
      <c r="C6" s="4">
        <v>5</v>
      </c>
      <c r="D6" s="15" t="s">
        <v>106</v>
      </c>
      <c r="E6" s="15">
        <v>1</v>
      </c>
      <c r="I6" s="15" t="s">
        <v>112</v>
      </c>
      <c r="J6" s="17">
        <f t="shared" si="1"/>
        <v>4.7453703703692618E-4</v>
      </c>
      <c r="K6" s="18" t="s">
        <v>163</v>
      </c>
      <c r="L6" s="19">
        <f t="shared" si="2"/>
        <v>3</v>
      </c>
      <c r="M6" s="19">
        <f t="shared" si="3"/>
        <v>2</v>
      </c>
      <c r="N6" s="19">
        <f t="shared" si="3"/>
        <v>0</v>
      </c>
      <c r="O6" s="19">
        <f t="shared" si="3"/>
        <v>1</v>
      </c>
      <c r="P6" s="19">
        <f t="shared" si="3"/>
        <v>0</v>
      </c>
    </row>
    <row r="7" spans="1:16">
      <c r="A7" s="17">
        <v>0.9086574074074073</v>
      </c>
      <c r="B7" s="4">
        <v>1</v>
      </c>
      <c r="C7" s="4">
        <v>6</v>
      </c>
      <c r="D7" s="15" t="s">
        <v>107</v>
      </c>
      <c r="H7" s="15">
        <v>-1</v>
      </c>
      <c r="I7" s="15" t="s">
        <v>108</v>
      </c>
      <c r="J7" s="17">
        <f t="shared" si="1"/>
        <v>8.4490740740750248E-4</v>
      </c>
      <c r="K7" s="18" t="s">
        <v>164</v>
      </c>
      <c r="L7" s="19">
        <f t="shared" si="2"/>
        <v>8</v>
      </c>
      <c r="M7" s="19">
        <f t="shared" si="3"/>
        <v>3</v>
      </c>
      <c r="N7" s="19">
        <f t="shared" si="3"/>
        <v>1</v>
      </c>
      <c r="O7" s="19">
        <f t="shared" si="3"/>
        <v>0</v>
      </c>
      <c r="P7" s="19">
        <f t="shared" si="3"/>
        <v>4</v>
      </c>
    </row>
    <row r="8" spans="1:16">
      <c r="A8" s="17">
        <v>0.90950231481481481</v>
      </c>
      <c r="B8" s="4">
        <v>1</v>
      </c>
      <c r="C8" s="4">
        <v>7</v>
      </c>
      <c r="D8" s="15" t="s">
        <v>109</v>
      </c>
      <c r="F8" s="15">
        <v>-1</v>
      </c>
      <c r="J8" s="17">
        <f t="shared" si="1"/>
        <v>3.5879629629631538E-4</v>
      </c>
      <c r="K8" s="18" t="s">
        <v>165</v>
      </c>
      <c r="L8" s="19">
        <f t="shared" si="2"/>
        <v>7</v>
      </c>
      <c r="M8" s="19">
        <f t="shared" si="3"/>
        <v>1</v>
      </c>
      <c r="N8" s="19">
        <f t="shared" si="3"/>
        <v>3</v>
      </c>
      <c r="O8" s="19">
        <f t="shared" si="3"/>
        <v>2</v>
      </c>
      <c r="P8" s="19">
        <f t="shared" si="3"/>
        <v>1</v>
      </c>
    </row>
    <row r="9" spans="1:16">
      <c r="A9" s="17">
        <v>0.90986111111111112</v>
      </c>
      <c r="B9" s="4">
        <v>1</v>
      </c>
      <c r="C9" s="4">
        <v>8</v>
      </c>
      <c r="D9" s="15" t="s">
        <v>110</v>
      </c>
      <c r="H9" s="15">
        <v>-1</v>
      </c>
      <c r="I9" s="15" t="s">
        <v>108</v>
      </c>
      <c r="J9" s="17">
        <f t="shared" si="1"/>
        <v>1.7013888888889328E-3</v>
      </c>
      <c r="K9" s="18" t="s">
        <v>166</v>
      </c>
      <c r="L9" s="19">
        <f t="shared" si="2"/>
        <v>24</v>
      </c>
      <c r="M9" s="19">
        <f t="shared" si="3"/>
        <v>4</v>
      </c>
      <c r="N9" s="19">
        <f t="shared" si="3"/>
        <v>8</v>
      </c>
      <c r="O9" s="19">
        <f t="shared" si="3"/>
        <v>5</v>
      </c>
      <c r="P9" s="19">
        <f t="shared" si="3"/>
        <v>7</v>
      </c>
    </row>
    <row r="10" spans="1:16">
      <c r="A10" s="17">
        <v>0.91156250000000005</v>
      </c>
      <c r="B10" s="4">
        <v>1</v>
      </c>
      <c r="C10" s="4">
        <v>9</v>
      </c>
      <c r="D10" s="15" t="s">
        <v>111</v>
      </c>
      <c r="H10" s="15">
        <v>1</v>
      </c>
      <c r="I10" s="15" t="s">
        <v>112</v>
      </c>
      <c r="J10" s="17">
        <f t="shared" si="1"/>
        <v>5.2083333333330373E-4</v>
      </c>
      <c r="K10" s="18" t="s">
        <v>167</v>
      </c>
      <c r="L10" s="19">
        <f t="shared" si="2"/>
        <v>4</v>
      </c>
      <c r="M10" s="19">
        <f t="shared" si="3"/>
        <v>2</v>
      </c>
      <c r="N10" s="19">
        <f t="shared" si="3"/>
        <v>0</v>
      </c>
      <c r="O10" s="19">
        <f t="shared" si="3"/>
        <v>1</v>
      </c>
      <c r="P10" s="19">
        <f t="shared" si="3"/>
        <v>1</v>
      </c>
    </row>
    <row r="11" spans="1:16">
      <c r="A11" s="17">
        <v>0.91208333333333336</v>
      </c>
      <c r="B11" s="4">
        <v>1</v>
      </c>
      <c r="C11" s="4">
        <v>10</v>
      </c>
      <c r="D11" s="15" t="s">
        <v>141</v>
      </c>
      <c r="G11" s="15">
        <v>1</v>
      </c>
      <c r="I11" s="15" t="s">
        <v>112</v>
      </c>
      <c r="J11" s="17">
        <f t="shared" si="1"/>
        <v>3.5879629629631538E-4</v>
      </c>
      <c r="K11" s="18" t="s">
        <v>169</v>
      </c>
      <c r="L11" s="19">
        <f t="shared" si="2"/>
        <v>3</v>
      </c>
      <c r="M11" s="19">
        <f t="shared" si="3"/>
        <v>0</v>
      </c>
      <c r="N11" s="19">
        <f t="shared" si="3"/>
        <v>1</v>
      </c>
      <c r="O11" s="19">
        <f t="shared" si="3"/>
        <v>2</v>
      </c>
      <c r="P11" s="19">
        <f t="shared" si="3"/>
        <v>0</v>
      </c>
    </row>
    <row r="12" spans="1:16">
      <c r="A12" s="17">
        <v>0.91244212962962967</v>
      </c>
      <c r="B12" s="4">
        <v>1</v>
      </c>
      <c r="C12" s="4">
        <v>11</v>
      </c>
      <c r="D12" s="15" t="s">
        <v>113</v>
      </c>
      <c r="E12" s="15">
        <v>1</v>
      </c>
      <c r="J12" s="17">
        <f t="shared" si="1"/>
        <v>4.745370370370372E-4</v>
      </c>
      <c r="K12" s="18" t="s">
        <v>168</v>
      </c>
      <c r="L12" s="19">
        <f t="shared" si="2"/>
        <v>4</v>
      </c>
      <c r="M12" s="19">
        <f t="shared" si="3"/>
        <v>1</v>
      </c>
      <c r="N12" s="19">
        <f t="shared" si="3"/>
        <v>1</v>
      </c>
      <c r="O12" s="19">
        <f t="shared" si="3"/>
        <v>2</v>
      </c>
      <c r="P12" s="19">
        <f t="shared" si="3"/>
        <v>0</v>
      </c>
    </row>
    <row r="13" spans="1:16">
      <c r="A13" s="17">
        <v>0.91291666666666671</v>
      </c>
      <c r="B13" s="4">
        <v>1</v>
      </c>
      <c r="C13" s="4">
        <v>12</v>
      </c>
      <c r="I13" s="15" t="s">
        <v>116</v>
      </c>
      <c r="J13" s="17">
        <f t="shared" si="1"/>
        <v>9.1435185185173573E-4</v>
      </c>
      <c r="L13" s="19">
        <f t="shared" si="2"/>
        <v>0</v>
      </c>
      <c r="M13" s="19">
        <f t="shared" si="3"/>
        <v>0</v>
      </c>
      <c r="N13" s="19">
        <f t="shared" si="3"/>
        <v>0</v>
      </c>
      <c r="O13" s="19">
        <f t="shared" si="3"/>
        <v>0</v>
      </c>
      <c r="P13" s="19">
        <f t="shared" si="3"/>
        <v>0</v>
      </c>
    </row>
    <row r="14" spans="1:16">
      <c r="A14" s="17">
        <v>0.91383101851851845</v>
      </c>
      <c r="B14" s="4">
        <v>1</v>
      </c>
      <c r="C14" s="4">
        <v>12</v>
      </c>
      <c r="D14" s="15" t="s">
        <v>115</v>
      </c>
      <c r="F14" s="15">
        <v>-1</v>
      </c>
      <c r="J14" s="17">
        <f t="shared" si="1"/>
        <v>5.3240740740745363E-4</v>
      </c>
      <c r="K14" s="18" t="s">
        <v>170</v>
      </c>
      <c r="L14" s="19">
        <f t="shared" si="2"/>
        <v>9</v>
      </c>
      <c r="M14" s="19">
        <f t="shared" si="3"/>
        <v>3</v>
      </c>
      <c r="N14" s="19">
        <f t="shared" si="3"/>
        <v>2</v>
      </c>
      <c r="O14" s="19">
        <f t="shared" si="3"/>
        <v>1</v>
      </c>
      <c r="P14" s="19">
        <f t="shared" si="3"/>
        <v>3</v>
      </c>
    </row>
    <row r="15" spans="1:16">
      <c r="A15" s="17">
        <v>0.9143634259259259</v>
      </c>
      <c r="B15" s="4">
        <v>1</v>
      </c>
      <c r="C15" s="4">
        <v>13</v>
      </c>
      <c r="D15" s="15" t="s">
        <v>117</v>
      </c>
      <c r="H15" s="15">
        <v>-1</v>
      </c>
      <c r="J15" s="17">
        <f t="shared" si="1"/>
        <v>8.91203703703769E-4</v>
      </c>
      <c r="K15" s="18" t="s">
        <v>171</v>
      </c>
      <c r="L15" s="19">
        <f t="shared" si="2"/>
        <v>13</v>
      </c>
      <c r="M15" s="19">
        <f t="shared" si="3"/>
        <v>2</v>
      </c>
      <c r="N15" s="19">
        <f t="shared" si="3"/>
        <v>4</v>
      </c>
      <c r="O15" s="19">
        <f t="shared" si="3"/>
        <v>3</v>
      </c>
      <c r="P15" s="19">
        <f t="shared" si="3"/>
        <v>4</v>
      </c>
    </row>
    <row r="16" spans="1:16">
      <c r="A16" s="17">
        <v>0.91525462962962967</v>
      </c>
      <c r="B16" s="4">
        <v>1</v>
      </c>
      <c r="C16" s="4">
        <v>14</v>
      </c>
      <c r="D16" s="15" t="s">
        <v>118</v>
      </c>
      <c r="G16" s="15">
        <v>1</v>
      </c>
      <c r="I16" s="15" t="s">
        <v>112</v>
      </c>
      <c r="J16" s="17">
        <f t="shared" si="1"/>
        <v>6.5972222222221433E-4</v>
      </c>
      <c r="K16" s="18" t="s">
        <v>172</v>
      </c>
      <c r="L16" s="19">
        <f t="shared" si="2"/>
        <v>8</v>
      </c>
      <c r="M16" s="19">
        <f t="shared" si="3"/>
        <v>2</v>
      </c>
      <c r="N16" s="19">
        <f t="shared" si="3"/>
        <v>2</v>
      </c>
      <c r="O16" s="19">
        <f t="shared" si="3"/>
        <v>2</v>
      </c>
      <c r="P16" s="19">
        <f t="shared" si="3"/>
        <v>2</v>
      </c>
    </row>
    <row r="17" spans="1:16">
      <c r="A17" s="17">
        <v>0.91591435185185188</v>
      </c>
      <c r="B17" s="4">
        <v>1</v>
      </c>
      <c r="C17" s="4">
        <v>15</v>
      </c>
      <c r="D17" s="15" t="s">
        <v>119</v>
      </c>
      <c r="E17" s="15">
        <v>-1</v>
      </c>
      <c r="J17" s="17">
        <f t="shared" si="1"/>
        <v>5.0925925925915383E-4</v>
      </c>
      <c r="K17" s="18" t="s">
        <v>173</v>
      </c>
      <c r="L17" s="19">
        <f t="shared" si="2"/>
        <v>6</v>
      </c>
      <c r="M17" s="19">
        <f t="shared" si="3"/>
        <v>2</v>
      </c>
      <c r="N17" s="19">
        <f t="shared" si="3"/>
        <v>1</v>
      </c>
      <c r="O17" s="19">
        <f t="shared" si="3"/>
        <v>1</v>
      </c>
      <c r="P17" s="19">
        <f t="shared" si="3"/>
        <v>2</v>
      </c>
    </row>
    <row r="18" spans="1:16">
      <c r="A18" s="17">
        <v>0.91642361111111104</v>
      </c>
      <c r="B18" s="4">
        <v>1</v>
      </c>
      <c r="C18" s="4">
        <v>16</v>
      </c>
      <c r="D18" s="15" t="s">
        <v>120</v>
      </c>
      <c r="G18" s="15">
        <v>1</v>
      </c>
      <c r="J18" s="17">
        <f t="shared" si="1"/>
        <v>5.671296296297923E-4</v>
      </c>
      <c r="K18" s="18" t="s">
        <v>174</v>
      </c>
      <c r="L18" s="19">
        <f t="shared" si="2"/>
        <v>5</v>
      </c>
      <c r="M18" s="19">
        <f t="shared" si="3"/>
        <v>0</v>
      </c>
      <c r="N18" s="19">
        <f t="shared" si="3"/>
        <v>2</v>
      </c>
      <c r="O18" s="19">
        <f t="shared" si="3"/>
        <v>3</v>
      </c>
      <c r="P18" s="19">
        <f t="shared" si="3"/>
        <v>0</v>
      </c>
    </row>
    <row r="19" spans="1:16">
      <c r="A19" s="17">
        <v>0.91699074074074083</v>
      </c>
      <c r="B19" s="4">
        <v>1</v>
      </c>
      <c r="C19" s="4">
        <v>17</v>
      </c>
      <c r="D19" s="15" t="s">
        <v>121</v>
      </c>
      <c r="F19" s="15">
        <v>-1</v>
      </c>
      <c r="J19" s="17">
        <f t="shared" si="1"/>
        <v>4.8611111111107608E-4</v>
      </c>
      <c r="K19" s="18" t="s">
        <v>175</v>
      </c>
      <c r="L19" s="19">
        <f t="shared" si="2"/>
        <v>6</v>
      </c>
      <c r="M19" s="19">
        <f t="shared" ref="M19:P51" si="4">SUMPRODUCT((LEN($K19)-LEN(SUBSTITUTE($K19,M$1,""))))</f>
        <v>0</v>
      </c>
      <c r="N19" s="19">
        <f t="shared" si="4"/>
        <v>3</v>
      </c>
      <c r="O19" s="19">
        <f t="shared" si="4"/>
        <v>3</v>
      </c>
      <c r="P19" s="19">
        <f t="shared" si="4"/>
        <v>0</v>
      </c>
    </row>
    <row r="20" spans="1:16">
      <c r="A20" s="17">
        <v>0.9174768518518519</v>
      </c>
      <c r="B20" s="4">
        <v>1</v>
      </c>
      <c r="C20" s="4">
        <v>18</v>
      </c>
      <c r="D20" s="15" t="s">
        <v>122</v>
      </c>
      <c r="G20" s="15">
        <v>1</v>
      </c>
      <c r="I20" s="15" t="s">
        <v>112</v>
      </c>
      <c r="J20" s="17">
        <f t="shared" si="1"/>
        <v>4.5138888888873741E-4</v>
      </c>
      <c r="K20" s="18" t="s">
        <v>176</v>
      </c>
      <c r="L20" s="19">
        <f t="shared" si="2"/>
        <v>5</v>
      </c>
      <c r="M20" s="19">
        <f t="shared" si="4"/>
        <v>1</v>
      </c>
      <c r="N20" s="19">
        <f t="shared" si="4"/>
        <v>1</v>
      </c>
      <c r="O20" s="19">
        <f t="shared" si="4"/>
        <v>2</v>
      </c>
      <c r="P20" s="19">
        <f t="shared" si="4"/>
        <v>1</v>
      </c>
    </row>
    <row r="21" spans="1:16">
      <c r="A21" s="17">
        <v>0.91792824074074064</v>
      </c>
      <c r="B21" s="4">
        <v>1</v>
      </c>
      <c r="C21" s="4">
        <v>19</v>
      </c>
      <c r="D21" s="15" t="s">
        <v>123</v>
      </c>
      <c r="G21" s="15">
        <v>-1</v>
      </c>
      <c r="I21" s="15" t="s">
        <v>124</v>
      </c>
      <c r="J21" s="17">
        <f t="shared" si="1"/>
        <v>5.671296296297923E-4</v>
      </c>
      <c r="K21" s="18" t="s">
        <v>177</v>
      </c>
      <c r="L21" s="19">
        <f t="shared" si="2"/>
        <v>7</v>
      </c>
      <c r="M21" s="19">
        <f t="shared" si="4"/>
        <v>0</v>
      </c>
      <c r="N21" s="19">
        <f t="shared" si="4"/>
        <v>3</v>
      </c>
      <c r="O21" s="19">
        <f t="shared" si="4"/>
        <v>3</v>
      </c>
      <c r="P21" s="19">
        <f t="shared" si="4"/>
        <v>1</v>
      </c>
    </row>
    <row r="22" spans="1:16">
      <c r="A22" s="17">
        <v>0.91849537037037043</v>
      </c>
      <c r="B22" s="4">
        <v>1</v>
      </c>
      <c r="C22" s="4">
        <v>20</v>
      </c>
      <c r="D22" s="15" t="s">
        <v>125</v>
      </c>
      <c r="E22" s="15">
        <v>1</v>
      </c>
      <c r="I22" s="15" t="s">
        <v>126</v>
      </c>
      <c r="J22" s="17">
        <f t="shared" si="1"/>
        <v>6.018518518517979E-4</v>
      </c>
      <c r="K22" s="18" t="s">
        <v>178</v>
      </c>
      <c r="L22" s="19">
        <f t="shared" si="2"/>
        <v>1</v>
      </c>
      <c r="M22" s="19">
        <f t="shared" si="4"/>
        <v>1</v>
      </c>
      <c r="N22" s="19">
        <f t="shared" si="4"/>
        <v>0</v>
      </c>
      <c r="O22" s="19">
        <f t="shared" si="4"/>
        <v>0</v>
      </c>
      <c r="P22" s="19">
        <f t="shared" si="4"/>
        <v>0</v>
      </c>
    </row>
    <row r="23" spans="1:16">
      <c r="A23" s="17">
        <v>0.91909722222222223</v>
      </c>
      <c r="B23" s="4">
        <v>1</v>
      </c>
      <c r="C23" s="4">
        <v>21</v>
      </c>
      <c r="D23" s="15" t="s">
        <v>127</v>
      </c>
      <c r="G23" s="15">
        <v>1</v>
      </c>
      <c r="I23" s="15" t="s">
        <v>128</v>
      </c>
      <c r="J23" s="17">
        <f t="shared" si="1"/>
        <v>3.8194444444439313E-4</v>
      </c>
      <c r="K23" s="18" t="s">
        <v>179</v>
      </c>
      <c r="L23" s="19">
        <f t="shared" si="2"/>
        <v>2</v>
      </c>
      <c r="M23" s="19">
        <f t="shared" si="4"/>
        <v>1</v>
      </c>
      <c r="N23" s="19">
        <f t="shared" si="4"/>
        <v>0</v>
      </c>
      <c r="O23" s="19">
        <f t="shared" si="4"/>
        <v>1</v>
      </c>
      <c r="P23" s="19">
        <f t="shared" si="4"/>
        <v>0</v>
      </c>
    </row>
    <row r="24" spans="1:16">
      <c r="A24" s="17">
        <v>0.91947916666666663</v>
      </c>
      <c r="B24" s="4">
        <v>1</v>
      </c>
      <c r="C24" s="4">
        <v>22</v>
      </c>
      <c r="D24" s="15" t="s">
        <v>129</v>
      </c>
      <c r="E24" s="15">
        <v>-1</v>
      </c>
      <c r="J24" s="17">
        <f t="shared" si="1"/>
        <v>4.166666666667318E-4</v>
      </c>
      <c r="K24" s="18" t="s">
        <v>180</v>
      </c>
      <c r="L24" s="19">
        <f t="shared" si="2"/>
        <v>2</v>
      </c>
      <c r="M24" s="19">
        <f t="shared" si="4"/>
        <v>1</v>
      </c>
      <c r="N24" s="19">
        <f t="shared" si="4"/>
        <v>0</v>
      </c>
      <c r="O24" s="19">
        <f t="shared" si="4"/>
        <v>1</v>
      </c>
      <c r="P24" s="19">
        <f t="shared" si="4"/>
        <v>0</v>
      </c>
    </row>
    <row r="25" spans="1:16">
      <c r="A25" s="17">
        <v>0.91989583333333336</v>
      </c>
      <c r="B25" s="4">
        <v>1</v>
      </c>
      <c r="C25" s="4">
        <v>23</v>
      </c>
      <c r="D25" s="15" t="s">
        <v>130</v>
      </c>
      <c r="H25" s="15">
        <v>-1</v>
      </c>
      <c r="I25" s="15" t="s">
        <v>131</v>
      </c>
      <c r="J25" s="17">
        <f t="shared" si="1"/>
        <v>6.9444444444444198E-4</v>
      </c>
      <c r="K25" s="18" t="s">
        <v>181</v>
      </c>
      <c r="L25" s="19">
        <f t="shared" si="2"/>
        <v>11</v>
      </c>
      <c r="M25" s="19">
        <f t="shared" si="4"/>
        <v>2</v>
      </c>
      <c r="N25" s="19">
        <f t="shared" si="4"/>
        <v>3</v>
      </c>
      <c r="O25" s="19">
        <f t="shared" si="4"/>
        <v>4</v>
      </c>
      <c r="P25" s="19">
        <f t="shared" si="4"/>
        <v>2</v>
      </c>
    </row>
    <row r="26" spans="1:16">
      <c r="A26" s="17">
        <v>0.9205902777777778</v>
      </c>
      <c r="B26" s="4">
        <v>1</v>
      </c>
      <c r="C26" s="4">
        <v>24</v>
      </c>
      <c r="D26" s="15" t="s">
        <v>132</v>
      </c>
      <c r="F26" s="15">
        <v>-1</v>
      </c>
      <c r="I26" s="15" t="s">
        <v>133</v>
      </c>
      <c r="J26" s="17">
        <f t="shared" si="1"/>
        <v>5.324074074073426E-4</v>
      </c>
      <c r="K26" s="18" t="s">
        <v>182</v>
      </c>
      <c r="L26" s="19">
        <f t="shared" si="2"/>
        <v>7</v>
      </c>
      <c r="M26" s="19">
        <f t="shared" si="4"/>
        <v>1</v>
      </c>
      <c r="N26" s="19">
        <f t="shared" si="4"/>
        <v>3</v>
      </c>
      <c r="O26" s="19">
        <f t="shared" si="4"/>
        <v>1</v>
      </c>
      <c r="P26" s="19">
        <f t="shared" si="4"/>
        <v>2</v>
      </c>
    </row>
    <row r="27" spans="1:16">
      <c r="A27" s="17">
        <v>0.92112268518518514</v>
      </c>
      <c r="B27" s="15"/>
      <c r="C27" s="15"/>
      <c r="J27" s="17">
        <f t="shared" si="1"/>
        <v>2.083333333333659E-4</v>
      </c>
      <c r="L27" s="19">
        <f t="shared" si="2"/>
        <v>0</v>
      </c>
      <c r="M27" s="19">
        <f t="shared" si="4"/>
        <v>0</v>
      </c>
      <c r="N27" s="19">
        <f t="shared" si="4"/>
        <v>0</v>
      </c>
      <c r="O27" s="19">
        <f t="shared" si="4"/>
        <v>0</v>
      </c>
      <c r="P27" s="19">
        <f t="shared" si="4"/>
        <v>0</v>
      </c>
    </row>
    <row r="28" spans="1:16">
      <c r="A28" s="17">
        <v>0.92133101851851851</v>
      </c>
      <c r="I28" s="15" t="s">
        <v>140</v>
      </c>
      <c r="J28" s="17">
        <f t="shared" si="1"/>
        <v>2.1412037037037424E-3</v>
      </c>
      <c r="L28" s="19">
        <f t="shared" si="2"/>
        <v>0</v>
      </c>
      <c r="M28" s="19">
        <f t="shared" si="4"/>
        <v>0</v>
      </c>
      <c r="N28" s="19">
        <f t="shared" si="4"/>
        <v>0</v>
      </c>
      <c r="O28" s="19">
        <f t="shared" si="4"/>
        <v>0</v>
      </c>
      <c r="P28" s="19">
        <f t="shared" si="4"/>
        <v>0</v>
      </c>
    </row>
    <row r="29" spans="1:16">
      <c r="A29" s="17">
        <v>0.92347222222222225</v>
      </c>
      <c r="B29" s="4">
        <v>2</v>
      </c>
      <c r="C29" s="4">
        <v>1</v>
      </c>
      <c r="D29" s="15" t="s">
        <v>134</v>
      </c>
      <c r="G29" s="15">
        <v>1</v>
      </c>
      <c r="I29" s="15" t="s">
        <v>112</v>
      </c>
      <c r="J29" s="17">
        <f t="shared" si="1"/>
        <v>5.0925925925915383E-4</v>
      </c>
      <c r="K29" s="18" t="s">
        <v>183</v>
      </c>
      <c r="L29" s="19">
        <f t="shared" si="2"/>
        <v>7</v>
      </c>
      <c r="M29" s="19">
        <f t="shared" si="4"/>
        <v>3</v>
      </c>
      <c r="N29" s="19">
        <f t="shared" si="4"/>
        <v>0</v>
      </c>
      <c r="O29" s="19">
        <f t="shared" si="4"/>
        <v>2</v>
      </c>
      <c r="P29" s="19">
        <f t="shared" si="4"/>
        <v>2</v>
      </c>
    </row>
    <row r="30" spans="1:16">
      <c r="A30" s="17">
        <v>0.9239814814814814</v>
      </c>
      <c r="B30" s="4">
        <v>2</v>
      </c>
      <c r="C30" s="4">
        <v>2</v>
      </c>
      <c r="D30" s="15" t="s">
        <v>135</v>
      </c>
      <c r="H30" s="15">
        <v>1</v>
      </c>
      <c r="I30" s="15" t="s">
        <v>136</v>
      </c>
      <c r="J30" s="17">
        <f t="shared" si="1"/>
        <v>5.7870370370372015E-4</v>
      </c>
      <c r="K30" s="18" t="s">
        <v>184</v>
      </c>
      <c r="L30" s="19">
        <f t="shared" si="2"/>
        <v>5</v>
      </c>
      <c r="M30" s="19">
        <f t="shared" si="4"/>
        <v>1</v>
      </c>
      <c r="N30" s="19">
        <f t="shared" si="4"/>
        <v>1</v>
      </c>
      <c r="O30" s="19">
        <f t="shared" si="4"/>
        <v>1</v>
      </c>
      <c r="P30" s="19">
        <f t="shared" si="4"/>
        <v>2</v>
      </c>
    </row>
    <row r="31" spans="1:16">
      <c r="A31" s="17">
        <v>0.92456018518518512</v>
      </c>
      <c r="B31" s="4">
        <v>2</v>
      </c>
      <c r="C31" s="4">
        <v>3</v>
      </c>
      <c r="D31" s="15" t="s">
        <v>137</v>
      </c>
      <c r="G31" s="15">
        <v>1</v>
      </c>
      <c r="I31" s="15" t="s">
        <v>112</v>
      </c>
      <c r="J31" s="17">
        <f t="shared" si="1"/>
        <v>3.7037037037046527E-4</v>
      </c>
      <c r="K31" s="18" t="s">
        <v>185</v>
      </c>
      <c r="L31" s="19">
        <f t="shared" si="2"/>
        <v>7</v>
      </c>
      <c r="M31" s="19">
        <f t="shared" si="4"/>
        <v>1</v>
      </c>
      <c r="N31" s="19">
        <f t="shared" si="4"/>
        <v>2</v>
      </c>
      <c r="O31" s="19">
        <f t="shared" si="4"/>
        <v>3</v>
      </c>
      <c r="P31" s="19">
        <f t="shared" si="4"/>
        <v>1</v>
      </c>
    </row>
    <row r="32" spans="1:16">
      <c r="A32" s="17">
        <v>0.92493055555555559</v>
      </c>
      <c r="B32" s="4">
        <v>2</v>
      </c>
      <c r="C32" s="4">
        <v>4</v>
      </c>
      <c r="D32" s="15" t="s">
        <v>138</v>
      </c>
      <c r="E32" s="15">
        <v>-1</v>
      </c>
      <c r="I32" s="15" t="s">
        <v>139</v>
      </c>
      <c r="J32" s="17">
        <f t="shared" si="1"/>
        <v>9.7222222222226318E-4</v>
      </c>
      <c r="K32" s="18" t="s">
        <v>186</v>
      </c>
      <c r="L32" s="19">
        <f t="shared" si="2"/>
        <v>14</v>
      </c>
      <c r="M32" s="19">
        <f t="shared" si="4"/>
        <v>3</v>
      </c>
      <c r="N32" s="19">
        <f t="shared" si="4"/>
        <v>4</v>
      </c>
      <c r="O32" s="19">
        <f t="shared" si="4"/>
        <v>4</v>
      </c>
      <c r="P32" s="19">
        <f t="shared" si="4"/>
        <v>3</v>
      </c>
    </row>
    <row r="33" spans="1:16">
      <c r="A33" s="17">
        <v>0.92590277777777785</v>
      </c>
      <c r="B33" s="4">
        <v>2</v>
      </c>
      <c r="C33" s="4">
        <v>5</v>
      </c>
      <c r="D33" s="15" t="s">
        <v>141</v>
      </c>
      <c r="G33" s="15">
        <v>1</v>
      </c>
      <c r="I33" s="15" t="s">
        <v>112</v>
      </c>
      <c r="J33" s="17">
        <f t="shared" si="1"/>
        <v>6.1342592592583678E-4</v>
      </c>
      <c r="K33" s="18" t="s">
        <v>169</v>
      </c>
      <c r="L33" s="19">
        <f t="shared" si="2"/>
        <v>3</v>
      </c>
      <c r="M33" s="19">
        <f t="shared" si="4"/>
        <v>0</v>
      </c>
      <c r="N33" s="19">
        <f t="shared" si="4"/>
        <v>1</v>
      </c>
      <c r="O33" s="19">
        <f t="shared" si="4"/>
        <v>2</v>
      </c>
      <c r="P33" s="19">
        <f t="shared" si="4"/>
        <v>0</v>
      </c>
    </row>
    <row r="34" spans="1:16">
      <c r="A34" s="17">
        <v>0.92651620370370369</v>
      </c>
      <c r="B34" s="4">
        <v>2</v>
      </c>
      <c r="C34" s="4">
        <v>6</v>
      </c>
      <c r="D34" s="15" t="s">
        <v>142</v>
      </c>
      <c r="H34" s="15">
        <v>-1</v>
      </c>
      <c r="J34" s="17">
        <f t="shared" si="1"/>
        <v>4.745370370370372E-4</v>
      </c>
      <c r="K34" s="18" t="s">
        <v>187</v>
      </c>
      <c r="L34" s="19">
        <f t="shared" si="2"/>
        <v>7</v>
      </c>
      <c r="M34" s="19">
        <f t="shared" si="4"/>
        <v>3</v>
      </c>
      <c r="N34" s="19">
        <f t="shared" si="4"/>
        <v>0</v>
      </c>
      <c r="O34" s="19">
        <f t="shared" si="4"/>
        <v>2</v>
      </c>
      <c r="P34" s="19">
        <f t="shared" si="4"/>
        <v>2</v>
      </c>
    </row>
    <row r="35" spans="1:16">
      <c r="A35" s="17">
        <v>0.92699074074074073</v>
      </c>
      <c r="B35" s="4">
        <v>2</v>
      </c>
      <c r="C35" s="4">
        <v>7</v>
      </c>
      <c r="D35" s="15" t="s">
        <v>143</v>
      </c>
      <c r="H35" s="15">
        <v>-1</v>
      </c>
      <c r="I35" s="15" t="s">
        <v>131</v>
      </c>
      <c r="J35" s="17">
        <f t="shared" si="1"/>
        <v>1.3657407407406952E-3</v>
      </c>
      <c r="K35" s="18" t="s">
        <v>188</v>
      </c>
      <c r="L35" s="19">
        <f t="shared" si="2"/>
        <v>18</v>
      </c>
      <c r="M35" s="19">
        <f t="shared" si="4"/>
        <v>3</v>
      </c>
      <c r="N35" s="19">
        <f t="shared" si="4"/>
        <v>6</v>
      </c>
      <c r="O35" s="19">
        <f t="shared" si="4"/>
        <v>3</v>
      </c>
      <c r="P35" s="19">
        <f t="shared" si="4"/>
        <v>6</v>
      </c>
    </row>
    <row r="36" spans="1:16">
      <c r="A36" s="17">
        <v>0.92835648148148142</v>
      </c>
      <c r="B36" s="4">
        <v>2</v>
      </c>
      <c r="C36" s="4">
        <v>8</v>
      </c>
      <c r="D36" s="15" t="s">
        <v>127</v>
      </c>
      <c r="G36" s="15">
        <v>-1</v>
      </c>
      <c r="I36" s="15" t="s">
        <v>139</v>
      </c>
      <c r="J36" s="17">
        <f t="shared" si="1"/>
        <v>3.7037037037046527E-4</v>
      </c>
      <c r="K36" s="18" t="s">
        <v>179</v>
      </c>
      <c r="L36" s="19">
        <f t="shared" si="2"/>
        <v>2</v>
      </c>
      <c r="M36" s="19">
        <f t="shared" si="4"/>
        <v>1</v>
      </c>
      <c r="N36" s="19">
        <f t="shared" si="4"/>
        <v>0</v>
      </c>
      <c r="O36" s="19">
        <f t="shared" si="4"/>
        <v>1</v>
      </c>
      <c r="P36" s="19">
        <f t="shared" si="4"/>
        <v>0</v>
      </c>
    </row>
    <row r="37" spans="1:16">
      <c r="A37" s="17">
        <v>0.92872685185185189</v>
      </c>
      <c r="B37" s="4">
        <v>2</v>
      </c>
      <c r="C37" s="4">
        <v>9</v>
      </c>
      <c r="D37" s="15" t="s">
        <v>144</v>
      </c>
      <c r="H37" s="15">
        <v>-1</v>
      </c>
      <c r="I37" s="15" t="s">
        <v>139</v>
      </c>
      <c r="J37" s="17">
        <f t="shared" si="1"/>
        <v>7.9861111111112493E-4</v>
      </c>
      <c r="K37" s="18" t="s">
        <v>189</v>
      </c>
      <c r="L37" s="19">
        <f t="shared" si="2"/>
        <v>6</v>
      </c>
      <c r="M37" s="19">
        <f t="shared" si="4"/>
        <v>2</v>
      </c>
      <c r="N37" s="19">
        <f t="shared" si="4"/>
        <v>1</v>
      </c>
      <c r="O37" s="19">
        <f t="shared" si="4"/>
        <v>1</v>
      </c>
      <c r="P37" s="19">
        <f t="shared" si="4"/>
        <v>2</v>
      </c>
    </row>
    <row r="38" spans="1:16">
      <c r="A38" s="17">
        <v>0.92952546296296301</v>
      </c>
      <c r="B38" s="4">
        <v>2</v>
      </c>
      <c r="C38" s="4">
        <v>10</v>
      </c>
      <c r="D38" s="15" t="s">
        <v>145</v>
      </c>
      <c r="H38" s="15">
        <v>1</v>
      </c>
      <c r="I38" s="15" t="s">
        <v>148</v>
      </c>
      <c r="J38" s="17">
        <f t="shared" si="1"/>
        <v>6.7129629629614218E-4</v>
      </c>
      <c r="K38" s="18" t="s">
        <v>190</v>
      </c>
      <c r="L38" s="19">
        <f t="shared" si="2"/>
        <v>6</v>
      </c>
      <c r="M38" s="19">
        <f t="shared" si="4"/>
        <v>1</v>
      </c>
      <c r="N38" s="19">
        <f t="shared" si="4"/>
        <v>2</v>
      </c>
      <c r="O38" s="19">
        <f t="shared" si="4"/>
        <v>1</v>
      </c>
      <c r="P38" s="19">
        <f t="shared" si="4"/>
        <v>2</v>
      </c>
    </row>
    <row r="39" spans="1:16">
      <c r="A39" s="17">
        <v>0.93019675925925915</v>
      </c>
      <c r="B39" s="4">
        <v>2</v>
      </c>
      <c r="C39" s="4">
        <v>11</v>
      </c>
      <c r="D39" s="15" t="s">
        <v>146</v>
      </c>
      <c r="E39" s="15">
        <v>-1</v>
      </c>
      <c r="I39" s="15" t="s">
        <v>147</v>
      </c>
      <c r="J39" s="17">
        <f t="shared" si="1"/>
        <v>5.555555555556424E-4</v>
      </c>
      <c r="K39" s="18" t="s">
        <v>191</v>
      </c>
      <c r="L39" s="19">
        <f t="shared" si="2"/>
        <v>6</v>
      </c>
      <c r="M39" s="19">
        <f t="shared" si="4"/>
        <v>2</v>
      </c>
      <c r="N39" s="19">
        <f t="shared" si="4"/>
        <v>1</v>
      </c>
      <c r="O39" s="19">
        <f t="shared" si="4"/>
        <v>2</v>
      </c>
      <c r="P39" s="19">
        <f t="shared" si="4"/>
        <v>1</v>
      </c>
    </row>
    <row r="40" spans="1:16">
      <c r="A40" s="17">
        <v>0.9307523148148148</v>
      </c>
      <c r="B40" s="4">
        <v>2</v>
      </c>
      <c r="C40" s="4">
        <v>12</v>
      </c>
      <c r="D40" s="15" t="s">
        <v>141</v>
      </c>
      <c r="G40" s="15">
        <v>1</v>
      </c>
      <c r="I40" s="15" t="s">
        <v>148</v>
      </c>
      <c r="J40" s="17">
        <f t="shared" si="1"/>
        <v>3.2407407407419875E-4</v>
      </c>
      <c r="K40" s="18" t="s">
        <v>169</v>
      </c>
      <c r="L40" s="19">
        <f t="shared" si="2"/>
        <v>3</v>
      </c>
      <c r="M40" s="19">
        <f t="shared" si="4"/>
        <v>0</v>
      </c>
      <c r="N40" s="19">
        <f t="shared" si="4"/>
        <v>1</v>
      </c>
      <c r="O40" s="19">
        <f t="shared" si="4"/>
        <v>2</v>
      </c>
      <c r="P40" s="19">
        <f t="shared" si="4"/>
        <v>0</v>
      </c>
    </row>
    <row r="41" spans="1:16">
      <c r="A41" s="17">
        <v>0.93107638888888899</v>
      </c>
      <c r="B41" s="4">
        <v>2</v>
      </c>
      <c r="C41" s="4">
        <v>13</v>
      </c>
      <c r="D41" s="15" t="s">
        <v>129</v>
      </c>
      <c r="E41" s="15">
        <v>1</v>
      </c>
      <c r="I41" s="15" t="s">
        <v>112</v>
      </c>
      <c r="J41" s="17">
        <f t="shared" si="1"/>
        <v>5.5555555555542036E-4</v>
      </c>
      <c r="K41" s="18" t="s">
        <v>180</v>
      </c>
      <c r="L41" s="19">
        <f t="shared" si="2"/>
        <v>2</v>
      </c>
      <c r="M41" s="19">
        <f t="shared" si="4"/>
        <v>1</v>
      </c>
      <c r="N41" s="19">
        <f t="shared" si="4"/>
        <v>0</v>
      </c>
      <c r="O41" s="19">
        <f t="shared" si="4"/>
        <v>1</v>
      </c>
      <c r="P41" s="19">
        <f t="shared" si="4"/>
        <v>0</v>
      </c>
    </row>
    <row r="42" spans="1:16">
      <c r="A42" s="17">
        <v>0.93163194444444442</v>
      </c>
      <c r="B42" s="4">
        <v>2</v>
      </c>
      <c r="C42" s="4">
        <v>14</v>
      </c>
      <c r="D42" s="15" t="s">
        <v>149</v>
      </c>
      <c r="G42" s="15">
        <v>1</v>
      </c>
      <c r="I42" s="15" t="s">
        <v>148</v>
      </c>
      <c r="J42" s="17">
        <f t="shared" si="1"/>
        <v>3.0092592592589895E-4</v>
      </c>
      <c r="K42" s="18" t="s">
        <v>192</v>
      </c>
      <c r="L42" s="19">
        <f t="shared" si="2"/>
        <v>4</v>
      </c>
      <c r="M42" s="19">
        <f t="shared" si="4"/>
        <v>2</v>
      </c>
      <c r="N42" s="19">
        <f t="shared" si="4"/>
        <v>0</v>
      </c>
      <c r="O42" s="19">
        <f t="shared" si="4"/>
        <v>2</v>
      </c>
      <c r="P42" s="19">
        <f t="shared" si="4"/>
        <v>0</v>
      </c>
    </row>
    <row r="43" spans="1:16">
      <c r="A43" s="17">
        <v>0.93193287037037031</v>
      </c>
      <c r="B43" s="4">
        <v>2</v>
      </c>
      <c r="C43" s="4">
        <v>15</v>
      </c>
      <c r="D43" s="15" t="s">
        <v>129</v>
      </c>
      <c r="E43" s="15">
        <v>-1</v>
      </c>
      <c r="I43" s="15" t="s">
        <v>124</v>
      </c>
      <c r="J43" s="17">
        <f t="shared" si="1"/>
        <v>3.5879629629631538E-4</v>
      </c>
      <c r="K43" s="18" t="s">
        <v>180</v>
      </c>
      <c r="L43" s="19">
        <f t="shared" si="2"/>
        <v>2</v>
      </c>
      <c r="M43" s="19">
        <f t="shared" si="4"/>
        <v>1</v>
      </c>
      <c r="N43" s="19">
        <f t="shared" si="4"/>
        <v>0</v>
      </c>
      <c r="O43" s="19">
        <f t="shared" si="4"/>
        <v>1</v>
      </c>
      <c r="P43" s="19">
        <f t="shared" si="4"/>
        <v>0</v>
      </c>
    </row>
    <row r="44" spans="1:16">
      <c r="A44" s="17">
        <v>0.93229166666666663</v>
      </c>
      <c r="B44" s="4">
        <v>2</v>
      </c>
      <c r="C44" s="4">
        <v>16</v>
      </c>
      <c r="D44" s="15" t="s">
        <v>141</v>
      </c>
      <c r="G44" s="15">
        <v>-1</v>
      </c>
      <c r="I44" s="15" t="s">
        <v>124</v>
      </c>
      <c r="J44" s="17">
        <f t="shared" si="1"/>
        <v>3.5879629629631538E-4</v>
      </c>
      <c r="K44" s="18" t="s">
        <v>169</v>
      </c>
      <c r="L44" s="19">
        <f t="shared" si="2"/>
        <v>3</v>
      </c>
      <c r="M44" s="19">
        <f t="shared" si="4"/>
        <v>0</v>
      </c>
      <c r="N44" s="19">
        <f t="shared" si="4"/>
        <v>1</v>
      </c>
      <c r="O44" s="19">
        <f t="shared" si="4"/>
        <v>2</v>
      </c>
      <c r="P44" s="19">
        <f t="shared" si="4"/>
        <v>0</v>
      </c>
    </row>
    <row r="45" spans="1:16">
      <c r="A45" s="17">
        <v>0.93265046296296295</v>
      </c>
      <c r="B45" s="4">
        <v>2</v>
      </c>
      <c r="C45" s="4">
        <v>17</v>
      </c>
      <c r="D45" s="15" t="s">
        <v>150</v>
      </c>
      <c r="F45" s="15">
        <v>-1</v>
      </c>
      <c r="I45" s="15" t="s">
        <v>139</v>
      </c>
      <c r="J45" s="17">
        <f t="shared" si="1"/>
        <v>7.8703703703708605E-4</v>
      </c>
      <c r="K45" s="18" t="s">
        <v>193</v>
      </c>
      <c r="L45" s="19">
        <f t="shared" si="2"/>
        <v>3</v>
      </c>
      <c r="M45" s="19">
        <f t="shared" si="4"/>
        <v>1</v>
      </c>
      <c r="N45" s="19">
        <f t="shared" si="4"/>
        <v>1</v>
      </c>
      <c r="O45" s="19">
        <f t="shared" si="4"/>
        <v>0</v>
      </c>
      <c r="P45" s="19">
        <f t="shared" si="4"/>
        <v>1</v>
      </c>
    </row>
    <row r="46" spans="1:16">
      <c r="A46" s="17">
        <v>0.93343750000000003</v>
      </c>
      <c r="B46" s="4">
        <v>2</v>
      </c>
      <c r="C46" s="4">
        <v>18</v>
      </c>
      <c r="D46" s="15" t="s">
        <v>151</v>
      </c>
      <c r="F46" s="15">
        <v>-1</v>
      </c>
      <c r="I46" s="15" t="s">
        <v>139</v>
      </c>
      <c r="J46" s="17">
        <f t="shared" si="1"/>
        <v>5.7870370370372015E-4</v>
      </c>
      <c r="K46" s="18" t="s">
        <v>194</v>
      </c>
      <c r="L46" s="19">
        <f t="shared" si="2"/>
        <v>8</v>
      </c>
      <c r="M46" s="19">
        <f t="shared" si="4"/>
        <v>0</v>
      </c>
      <c r="N46" s="19">
        <f t="shared" si="4"/>
        <v>4</v>
      </c>
      <c r="O46" s="19">
        <f t="shared" si="4"/>
        <v>4</v>
      </c>
      <c r="P46" s="19">
        <f t="shared" si="4"/>
        <v>0</v>
      </c>
    </row>
    <row r="47" spans="1:16">
      <c r="A47" s="17">
        <v>0.93401620370370375</v>
      </c>
      <c r="B47" s="4">
        <v>2</v>
      </c>
      <c r="C47" s="4">
        <v>19</v>
      </c>
      <c r="D47" s="15" t="s">
        <v>152</v>
      </c>
      <c r="E47" s="15">
        <v>-1</v>
      </c>
      <c r="I47" s="15" t="s">
        <v>153</v>
      </c>
      <c r="J47" s="17">
        <f t="shared" si="1"/>
        <v>4.629629629628873E-4</v>
      </c>
      <c r="K47" s="18" t="s">
        <v>195</v>
      </c>
      <c r="L47" s="19">
        <f t="shared" si="2"/>
        <v>4</v>
      </c>
      <c r="M47" s="19">
        <f t="shared" si="4"/>
        <v>1</v>
      </c>
      <c r="N47" s="19">
        <f t="shared" si="4"/>
        <v>1</v>
      </c>
      <c r="O47" s="19">
        <f t="shared" si="4"/>
        <v>1</v>
      </c>
      <c r="P47" s="19">
        <f t="shared" si="4"/>
        <v>1</v>
      </c>
    </row>
    <row r="48" spans="1:16">
      <c r="A48" s="17">
        <v>0.93447916666666664</v>
      </c>
      <c r="B48" s="4">
        <v>2</v>
      </c>
      <c r="C48" s="4">
        <v>20</v>
      </c>
      <c r="D48" s="15" t="s">
        <v>154</v>
      </c>
      <c r="E48" s="15">
        <v>1</v>
      </c>
      <c r="I48" s="15" t="s">
        <v>155</v>
      </c>
      <c r="J48" s="17">
        <f t="shared" si="1"/>
        <v>6.3657407407413658E-4</v>
      </c>
      <c r="K48" s="18" t="s">
        <v>196</v>
      </c>
      <c r="L48" s="19">
        <f t="shared" si="2"/>
        <v>8</v>
      </c>
      <c r="M48" s="19">
        <f t="shared" si="4"/>
        <v>3</v>
      </c>
      <c r="N48" s="19">
        <f t="shared" si="4"/>
        <v>1</v>
      </c>
      <c r="O48" s="19">
        <f t="shared" si="4"/>
        <v>2</v>
      </c>
      <c r="P48" s="19">
        <f t="shared" si="4"/>
        <v>2</v>
      </c>
    </row>
    <row r="49" spans="1:16">
      <c r="A49" s="17">
        <v>0.93511574074074078</v>
      </c>
      <c r="B49" s="4">
        <v>2</v>
      </c>
      <c r="C49" s="4">
        <v>21</v>
      </c>
      <c r="D49" s="15" t="s">
        <v>125</v>
      </c>
      <c r="E49" s="15">
        <v>-1</v>
      </c>
      <c r="I49" s="15" t="s">
        <v>156</v>
      </c>
      <c r="J49" s="17">
        <f t="shared" si="1"/>
        <v>5.439814814814925E-4</v>
      </c>
      <c r="K49" s="18" t="s">
        <v>178</v>
      </c>
      <c r="L49" s="19">
        <f t="shared" si="2"/>
        <v>1</v>
      </c>
      <c r="M49" s="19">
        <f t="shared" si="4"/>
        <v>1</v>
      </c>
      <c r="N49" s="19">
        <f t="shared" si="4"/>
        <v>0</v>
      </c>
      <c r="O49" s="19">
        <f t="shared" si="4"/>
        <v>0</v>
      </c>
      <c r="P49" s="19">
        <f t="shared" si="4"/>
        <v>0</v>
      </c>
    </row>
    <row r="50" spans="1:16">
      <c r="A50" s="17">
        <v>0.93565972222222227</v>
      </c>
      <c r="B50" s="4">
        <v>2</v>
      </c>
      <c r="C50" s="4">
        <v>22</v>
      </c>
      <c r="D50" s="15" t="s">
        <v>141</v>
      </c>
      <c r="G50" s="15">
        <v>-1</v>
      </c>
      <c r="I50" s="15" t="s">
        <v>139</v>
      </c>
      <c r="J50" s="17">
        <f t="shared" si="1"/>
        <v>4.050925925925819E-4</v>
      </c>
      <c r="K50" s="18" t="s">
        <v>169</v>
      </c>
      <c r="L50" s="19">
        <f t="shared" si="2"/>
        <v>3</v>
      </c>
      <c r="M50" s="19">
        <f t="shared" si="4"/>
        <v>0</v>
      </c>
      <c r="N50" s="19">
        <f t="shared" si="4"/>
        <v>1</v>
      </c>
      <c r="O50" s="19">
        <f t="shared" si="4"/>
        <v>2</v>
      </c>
      <c r="P50" s="19">
        <f t="shared" si="4"/>
        <v>0</v>
      </c>
    </row>
    <row r="51" spans="1:16">
      <c r="A51" s="17">
        <v>0.93606481481481485</v>
      </c>
      <c r="B51" s="4">
        <v>2</v>
      </c>
      <c r="C51" s="4">
        <v>23</v>
      </c>
      <c r="D51" s="15" t="s">
        <v>127</v>
      </c>
      <c r="G51" s="15">
        <v>1</v>
      </c>
      <c r="I51" s="15" t="s">
        <v>112</v>
      </c>
      <c r="J51" s="17">
        <f t="shared" si="1"/>
        <v>3.0092592592589895E-4</v>
      </c>
      <c r="K51" s="18" t="s">
        <v>179</v>
      </c>
      <c r="L51" s="19">
        <f t="shared" si="2"/>
        <v>2</v>
      </c>
      <c r="M51" s="19">
        <f t="shared" si="4"/>
        <v>1</v>
      </c>
      <c r="N51" s="19">
        <f t="shared" si="4"/>
        <v>0</v>
      </c>
      <c r="O51" s="19">
        <f t="shared" si="4"/>
        <v>1</v>
      </c>
      <c r="P51" s="19">
        <f t="shared" si="4"/>
        <v>0</v>
      </c>
    </row>
    <row r="52" spans="1:16">
      <c r="A52" s="17">
        <v>0.93636574074074075</v>
      </c>
      <c r="J52" s="17"/>
      <c r="L52" s="19">
        <f>SUM(L2:L51)</f>
        <v>308</v>
      </c>
      <c r="M52" s="19">
        <f t="shared" ref="M52:P52" si="5">SUM(M2:M51)</f>
        <v>67</v>
      </c>
      <c r="N52" s="19">
        <f t="shared" si="5"/>
        <v>83</v>
      </c>
      <c r="O52" s="19">
        <f t="shared" si="5"/>
        <v>97</v>
      </c>
      <c r="P52" s="19">
        <f t="shared" si="5"/>
        <v>61</v>
      </c>
    </row>
    <row r="53" spans="1:16">
      <c r="J53" s="17"/>
      <c r="M53" s="15">
        <f>COUNTIF(E2:E52,1)</f>
        <v>5</v>
      </c>
      <c r="N53" s="15">
        <f t="shared" ref="N53:P53" si="6">COUNTIF(F2:F52,1)</f>
        <v>0</v>
      </c>
      <c r="O53" s="15">
        <f t="shared" si="6"/>
        <v>12</v>
      </c>
      <c r="P53" s="15">
        <f t="shared" si="6"/>
        <v>3</v>
      </c>
    </row>
    <row r="54" spans="1:16">
      <c r="M54" s="15">
        <f>COUNTIF(E2:E52,-1)</f>
        <v>7</v>
      </c>
      <c r="N54" s="15">
        <f t="shared" ref="N54:P54" si="7">COUNTIF(F2:F52,-1)</f>
        <v>8</v>
      </c>
      <c r="O54" s="15">
        <f t="shared" si="7"/>
        <v>5</v>
      </c>
      <c r="P54" s="15">
        <f t="shared" si="7"/>
        <v>7</v>
      </c>
    </row>
  </sheetData>
  <autoFilter ref="A1:J52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1"/>
  <dimension ref="A1:N38"/>
  <sheetViews>
    <sheetView showGridLines="0" workbookViewId="0">
      <selection activeCell="C60" sqref="C60"/>
    </sheetView>
  </sheetViews>
  <sheetFormatPr baseColWidth="10" defaultRowHeight="15"/>
  <cols>
    <col min="1" max="1" width="38.7109375" bestFit="1" customWidth="1"/>
    <col min="2" max="3" width="14.140625" style="15" bestFit="1" customWidth="1"/>
    <col min="4" max="4" width="11.42578125" style="15"/>
    <col min="8" max="8" width="15.28515625" style="15" bestFit="1" customWidth="1"/>
    <col min="9" max="14" width="11.42578125" style="15"/>
  </cols>
  <sheetData>
    <row r="1" spans="1:14">
      <c r="A1" t="s">
        <v>214</v>
      </c>
      <c r="B1" s="15" t="s">
        <v>212</v>
      </c>
      <c r="C1" s="16" t="s">
        <v>213</v>
      </c>
      <c r="D1" s="15" t="s">
        <v>202</v>
      </c>
    </row>
    <row r="2" spans="1:14">
      <c r="A2" t="s">
        <v>198</v>
      </c>
      <c r="B2" s="16" t="s">
        <v>200</v>
      </c>
      <c r="C2" s="16" t="s">
        <v>201</v>
      </c>
    </row>
    <row r="3" spans="1:14">
      <c r="A3" t="s">
        <v>199</v>
      </c>
      <c r="B3" s="20">
        <v>1.5162037037037036E-2</v>
      </c>
      <c r="C3" s="20">
        <v>1.2893518518518519E-2</v>
      </c>
      <c r="D3" s="20">
        <f>B3+C3</f>
        <v>2.8055555555555556E-2</v>
      </c>
    </row>
    <row r="4" spans="1:14">
      <c r="A4" t="s">
        <v>203</v>
      </c>
      <c r="B4" s="19">
        <v>184</v>
      </c>
      <c r="C4" s="15">
        <v>124</v>
      </c>
      <c r="D4" s="15">
        <f>B4+C4</f>
        <v>308</v>
      </c>
    </row>
    <row r="5" spans="1:14">
      <c r="A5" t="s">
        <v>206</v>
      </c>
      <c r="B5" s="19">
        <v>10</v>
      </c>
      <c r="C5" s="15">
        <v>10</v>
      </c>
      <c r="D5" s="15">
        <f>B5+C5</f>
        <v>20</v>
      </c>
    </row>
    <row r="6" spans="1:14">
      <c r="A6" t="s">
        <v>207</v>
      </c>
      <c r="B6" s="19">
        <v>14</v>
      </c>
      <c r="C6" s="15">
        <v>13</v>
      </c>
      <c r="D6" s="15">
        <f>B6+C6</f>
        <v>27</v>
      </c>
    </row>
    <row r="7" spans="1:14">
      <c r="A7" t="s">
        <v>28</v>
      </c>
      <c r="B7" s="20">
        <v>1.7013888888888892E-3</v>
      </c>
      <c r="C7" s="20">
        <v>1.3657407407407409E-3</v>
      </c>
    </row>
    <row r="8" spans="1:14">
      <c r="A8" t="s">
        <v>204</v>
      </c>
      <c r="B8" s="15">
        <v>25</v>
      </c>
      <c r="C8" s="15">
        <v>18</v>
      </c>
      <c r="D8" s="15">
        <f>B8+C8</f>
        <v>43</v>
      </c>
    </row>
    <row r="9" spans="1:14">
      <c r="A9" s="28"/>
      <c r="B9" s="29"/>
      <c r="C9" s="29"/>
      <c r="D9" s="29"/>
      <c r="I9" s="15" t="s">
        <v>208</v>
      </c>
      <c r="J9" s="15" t="s">
        <v>209</v>
      </c>
      <c r="K9" s="15" t="s">
        <v>15</v>
      </c>
      <c r="L9" s="15" t="s">
        <v>16</v>
      </c>
      <c r="M9" s="15" t="s">
        <v>25</v>
      </c>
      <c r="N9" s="15" t="s">
        <v>45</v>
      </c>
    </row>
    <row r="10" spans="1:14">
      <c r="A10" s="28"/>
      <c r="B10" s="29"/>
      <c r="C10" s="29"/>
      <c r="D10" s="29"/>
      <c r="H10" s="15" t="s">
        <v>205</v>
      </c>
      <c r="I10" s="15">
        <f>D12+D19</f>
        <v>150</v>
      </c>
      <c r="J10" s="15">
        <f>D26+D33</f>
        <v>158</v>
      </c>
      <c r="K10" s="15">
        <v>67</v>
      </c>
      <c r="L10" s="15">
        <v>83</v>
      </c>
      <c r="M10" s="15">
        <v>97</v>
      </c>
      <c r="N10" s="15">
        <v>61</v>
      </c>
    </row>
    <row r="11" spans="1:14">
      <c r="H11" s="15" t="s">
        <v>206</v>
      </c>
      <c r="I11" s="15">
        <f>D13+D20</f>
        <v>5</v>
      </c>
      <c r="J11" s="15">
        <f>D27+D34</f>
        <v>15</v>
      </c>
      <c r="K11" s="15">
        <v>5</v>
      </c>
      <c r="L11" s="15">
        <v>0</v>
      </c>
      <c r="M11" s="15">
        <v>12</v>
      </c>
      <c r="N11" s="15">
        <v>3</v>
      </c>
    </row>
    <row r="12" spans="1:14" ht="15.75">
      <c r="A12" s="22" t="s">
        <v>218</v>
      </c>
      <c r="B12" s="33">
        <v>36</v>
      </c>
      <c r="C12" s="25">
        <v>31</v>
      </c>
      <c r="D12" s="25">
        <f>B12+C12</f>
        <v>67</v>
      </c>
      <c r="H12" s="15" t="s">
        <v>207</v>
      </c>
      <c r="I12" s="15">
        <f>D14+D21</f>
        <v>15</v>
      </c>
      <c r="J12" s="15">
        <f>D28+D35</f>
        <v>12</v>
      </c>
      <c r="K12" s="15">
        <v>7</v>
      </c>
      <c r="L12" s="15">
        <v>8</v>
      </c>
      <c r="M12" s="15">
        <v>5</v>
      </c>
      <c r="N12" s="15">
        <v>7</v>
      </c>
    </row>
    <row r="13" spans="1:14">
      <c r="A13" t="s">
        <v>206</v>
      </c>
      <c r="B13" s="30">
        <v>3</v>
      </c>
      <c r="C13" s="30">
        <v>2</v>
      </c>
      <c r="D13" s="30">
        <f>B13+C13</f>
        <v>5</v>
      </c>
      <c r="H13" s="15" t="s">
        <v>210</v>
      </c>
      <c r="I13" s="21">
        <f t="shared" ref="I13:N13" si="0">I11/I10</f>
        <v>3.3333333333333333E-2</v>
      </c>
      <c r="J13" s="21">
        <f t="shared" si="0"/>
        <v>9.49367088607595E-2</v>
      </c>
      <c r="K13" s="21">
        <f t="shared" si="0"/>
        <v>7.4626865671641784E-2</v>
      </c>
      <c r="L13" s="21">
        <f t="shared" si="0"/>
        <v>0</v>
      </c>
      <c r="M13" s="21">
        <f t="shared" si="0"/>
        <v>0.12371134020618557</v>
      </c>
      <c r="N13" s="21">
        <f t="shared" si="0"/>
        <v>4.9180327868852458E-2</v>
      </c>
    </row>
    <row r="14" spans="1:14">
      <c r="A14" t="s">
        <v>207</v>
      </c>
      <c r="B14" s="23">
        <v>2</v>
      </c>
      <c r="C14" s="24">
        <v>5</v>
      </c>
      <c r="D14" s="30">
        <f>B14+C14</f>
        <v>7</v>
      </c>
      <c r="H14" s="15" t="s">
        <v>211</v>
      </c>
      <c r="I14" s="21">
        <f t="shared" ref="I14:N14" si="1">I12/I10</f>
        <v>0.1</v>
      </c>
      <c r="J14" s="21">
        <f t="shared" si="1"/>
        <v>7.5949367088607597E-2</v>
      </c>
      <c r="K14" s="21">
        <f t="shared" si="1"/>
        <v>0.1044776119402985</v>
      </c>
      <c r="L14" s="21">
        <f t="shared" si="1"/>
        <v>9.6385542168674704E-2</v>
      </c>
      <c r="M14" s="21">
        <f t="shared" si="1"/>
        <v>5.1546391752577317E-2</v>
      </c>
      <c r="N14" s="21">
        <f t="shared" si="1"/>
        <v>0.11475409836065574</v>
      </c>
    </row>
    <row r="15" spans="1:14">
      <c r="A15" t="s">
        <v>215</v>
      </c>
      <c r="B15" s="26">
        <f>B12/B$4</f>
        <v>0.19565217391304349</v>
      </c>
      <c r="C15" s="27">
        <f>C12/C$4</f>
        <v>0.25</v>
      </c>
      <c r="D15" s="27">
        <f>D12/D$4</f>
        <v>0.21753246753246752</v>
      </c>
    </row>
    <row r="16" spans="1:14">
      <c r="A16" t="s">
        <v>216</v>
      </c>
      <c r="B16" s="27">
        <f>B13/B12</f>
        <v>8.3333333333333329E-2</v>
      </c>
      <c r="C16" s="27">
        <f t="shared" ref="C16:D16" si="2">C13/C12</f>
        <v>6.4516129032258063E-2</v>
      </c>
      <c r="D16" s="27">
        <f t="shared" si="2"/>
        <v>7.4626865671641784E-2</v>
      </c>
    </row>
    <row r="17" spans="1:4">
      <c r="A17" t="s">
        <v>217</v>
      </c>
      <c r="B17" s="27">
        <f>B14/B12</f>
        <v>5.5555555555555552E-2</v>
      </c>
      <c r="C17" s="26">
        <f t="shared" ref="C17:D17" si="3">C14/C12</f>
        <v>0.16129032258064516</v>
      </c>
      <c r="D17" s="27">
        <f t="shared" si="3"/>
        <v>0.1044776119402985</v>
      </c>
    </row>
    <row r="18" spans="1:4">
      <c r="B18" s="27"/>
      <c r="C18" s="27"/>
      <c r="D18" s="27"/>
    </row>
    <row r="19" spans="1:4" ht="15.75">
      <c r="A19" s="22" t="s">
        <v>219</v>
      </c>
      <c r="B19" s="31">
        <v>55</v>
      </c>
      <c r="C19" s="31">
        <v>28</v>
      </c>
      <c r="D19" s="31">
        <f>B19+C19</f>
        <v>83</v>
      </c>
    </row>
    <row r="20" spans="1:4">
      <c r="A20" t="s">
        <v>206</v>
      </c>
      <c r="B20" s="24">
        <v>0</v>
      </c>
      <c r="C20" s="24">
        <v>0</v>
      </c>
      <c r="D20" s="24">
        <f>B20+C20</f>
        <v>0</v>
      </c>
    </row>
    <row r="21" spans="1:4">
      <c r="A21" t="s">
        <v>207</v>
      </c>
      <c r="B21" s="24">
        <v>6</v>
      </c>
      <c r="C21" s="23">
        <v>2</v>
      </c>
      <c r="D21" s="24">
        <f>B21+C21</f>
        <v>8</v>
      </c>
    </row>
    <row r="22" spans="1:4">
      <c r="A22" t="s">
        <v>215</v>
      </c>
      <c r="B22" s="27">
        <f>B19/B$4</f>
        <v>0.29891304347826086</v>
      </c>
      <c r="C22" s="27">
        <f>C19/C$4</f>
        <v>0.22580645161290322</v>
      </c>
      <c r="D22" s="27">
        <f>D19/D$4</f>
        <v>0.26948051948051949</v>
      </c>
    </row>
    <row r="23" spans="1:4">
      <c r="A23" t="s">
        <v>216</v>
      </c>
      <c r="B23" s="26">
        <f>B20/B19</f>
        <v>0</v>
      </c>
      <c r="C23" s="26">
        <f t="shared" ref="C23:D23" si="4">C20/C19</f>
        <v>0</v>
      </c>
      <c r="D23" s="26">
        <f t="shared" si="4"/>
        <v>0</v>
      </c>
    </row>
    <row r="24" spans="1:4">
      <c r="A24" t="s">
        <v>217</v>
      </c>
      <c r="B24" s="26">
        <f>B21/B19</f>
        <v>0.10909090909090909</v>
      </c>
      <c r="C24" s="34">
        <f t="shared" ref="C24:D24" si="5">C21/C19</f>
        <v>7.1428571428571425E-2</v>
      </c>
      <c r="D24" s="27">
        <f t="shared" si="5"/>
        <v>9.6385542168674704E-2</v>
      </c>
    </row>
    <row r="25" spans="1:4">
      <c r="B25" s="27"/>
      <c r="C25" s="27"/>
      <c r="D25" s="27"/>
    </row>
    <row r="26" spans="1:4" ht="15.75">
      <c r="A26" s="22" t="s">
        <v>220</v>
      </c>
      <c r="B26" s="32">
        <v>57</v>
      </c>
      <c r="C26" s="32">
        <v>40</v>
      </c>
      <c r="D26" s="32">
        <f>B26+C26</f>
        <v>97</v>
      </c>
    </row>
    <row r="27" spans="1:4">
      <c r="A27" t="s">
        <v>206</v>
      </c>
      <c r="B27" s="23">
        <v>6</v>
      </c>
      <c r="C27" s="23">
        <v>6</v>
      </c>
      <c r="D27" s="23">
        <f>B27+C27</f>
        <v>12</v>
      </c>
    </row>
    <row r="28" spans="1:4">
      <c r="A28" t="s">
        <v>207</v>
      </c>
      <c r="B28" s="23">
        <v>2</v>
      </c>
      <c r="C28" s="30">
        <v>3</v>
      </c>
      <c r="D28" s="23">
        <f>B28+C28</f>
        <v>5</v>
      </c>
    </row>
    <row r="29" spans="1:4">
      <c r="A29" t="s">
        <v>215</v>
      </c>
      <c r="B29" s="34">
        <f>B26/B$4</f>
        <v>0.30978260869565216</v>
      </c>
      <c r="C29" s="34">
        <f>C26/C$4</f>
        <v>0.32258064516129031</v>
      </c>
      <c r="D29" s="34">
        <f>D26/D$4</f>
        <v>0.31493506493506496</v>
      </c>
    </row>
    <row r="30" spans="1:4">
      <c r="A30" t="s">
        <v>216</v>
      </c>
      <c r="B30" s="34">
        <f>B27/B26</f>
        <v>0.10526315789473684</v>
      </c>
      <c r="C30" s="34">
        <f t="shared" ref="C30:D30" si="6">C27/C26</f>
        <v>0.15</v>
      </c>
      <c r="D30" s="34">
        <f t="shared" si="6"/>
        <v>0.12371134020618557</v>
      </c>
    </row>
    <row r="31" spans="1:4">
      <c r="A31" t="s">
        <v>217</v>
      </c>
      <c r="B31" s="34">
        <f>B28/B26</f>
        <v>3.5087719298245612E-2</v>
      </c>
      <c r="C31" s="27">
        <f t="shared" ref="C31:D31" si="7">C28/C26</f>
        <v>7.4999999999999997E-2</v>
      </c>
      <c r="D31" s="34">
        <f t="shared" si="7"/>
        <v>5.1546391752577317E-2</v>
      </c>
    </row>
    <row r="32" spans="1:4">
      <c r="B32" s="30"/>
      <c r="C32" s="30"/>
      <c r="D32" s="30"/>
    </row>
    <row r="33" spans="1:4" ht="15.75">
      <c r="A33" s="22" t="s">
        <v>221</v>
      </c>
      <c r="B33" s="33">
        <v>36</v>
      </c>
      <c r="C33" s="33">
        <v>25</v>
      </c>
      <c r="D33" s="33">
        <f>B33+C33</f>
        <v>61</v>
      </c>
    </row>
    <row r="34" spans="1:4">
      <c r="A34" t="s">
        <v>206</v>
      </c>
      <c r="B34" s="30">
        <v>1</v>
      </c>
      <c r="C34" s="30">
        <v>2</v>
      </c>
      <c r="D34" s="30">
        <f>B34+C34</f>
        <v>3</v>
      </c>
    </row>
    <row r="35" spans="1:4">
      <c r="A35" t="s">
        <v>207</v>
      </c>
      <c r="B35" s="30">
        <v>4</v>
      </c>
      <c r="C35" s="30">
        <v>3</v>
      </c>
      <c r="D35" s="30">
        <f>B35+C35</f>
        <v>7</v>
      </c>
    </row>
    <row r="36" spans="1:4">
      <c r="A36" t="s">
        <v>215</v>
      </c>
      <c r="B36" s="26">
        <f>B33/B$4</f>
        <v>0.19565217391304349</v>
      </c>
      <c r="C36" s="26">
        <f>C33/C$4</f>
        <v>0.20161290322580644</v>
      </c>
      <c r="D36" s="26">
        <f>D33/D$4</f>
        <v>0.19805194805194806</v>
      </c>
    </row>
    <row r="37" spans="1:4">
      <c r="A37" t="s">
        <v>216</v>
      </c>
      <c r="B37" s="27">
        <f>B34/B33</f>
        <v>2.7777777777777776E-2</v>
      </c>
      <c r="C37" s="27">
        <f t="shared" ref="C37:D37" si="8">C34/C33</f>
        <v>0.08</v>
      </c>
      <c r="D37" s="27">
        <f t="shared" si="8"/>
        <v>4.9180327868852458E-2</v>
      </c>
    </row>
    <row r="38" spans="1:4">
      <c r="A38" t="s">
        <v>217</v>
      </c>
      <c r="B38" s="26">
        <f>B35/B33</f>
        <v>0.1111111111111111</v>
      </c>
      <c r="C38" s="27">
        <f t="shared" ref="C38:D38" si="9">C35/C33</f>
        <v>0.12</v>
      </c>
      <c r="D38" s="26">
        <f t="shared" si="9"/>
        <v>0.11475409836065574</v>
      </c>
    </row>
  </sheetData>
  <phoneticPr fontId="3" type="noConversion"/>
  <pageMargins left="0.7" right="0.7" top="0.75" bottom="0.75" header="0.3" footer="0.3"/>
  <pageSetup paperSize="9" orientation="portrait" r:id="rId1"/>
  <ignoredErrors>
    <ignoredError sqref="D15:D17 D22:D24 D29:D31 D36:D38" calculatedColumn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4</vt:i4>
      </vt:variant>
    </vt:vector>
  </HeadingPairs>
  <TitlesOfParts>
    <vt:vector size="11" baseType="lpstr">
      <vt:lpstr>Config</vt:lpstr>
      <vt:lpstr>Sources_old</vt:lpstr>
      <vt:lpstr>Parties</vt:lpstr>
      <vt:lpstr>Equipes</vt:lpstr>
      <vt:lpstr>Journal</vt:lpstr>
      <vt:lpstr>statistiques</vt:lpstr>
      <vt:lpstr>Feuil1</vt:lpstr>
      <vt:lpstr>ListeCouleur</vt:lpstr>
      <vt:lpstr>ListePartie</vt:lpstr>
      <vt:lpstr>ListePartieMondiaux</vt:lpstr>
      <vt:lpstr>NomJoueur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PARIES</dc:creator>
  <cp:lastModifiedBy>BAC</cp:lastModifiedBy>
  <cp:lastPrinted>2020-09-22T08:41:14Z</cp:lastPrinted>
  <dcterms:created xsi:type="dcterms:W3CDTF">2020-09-08T11:19:56Z</dcterms:created>
  <dcterms:modified xsi:type="dcterms:W3CDTF">2022-10-23T17:33:19Z</dcterms:modified>
</cp:coreProperties>
</file>